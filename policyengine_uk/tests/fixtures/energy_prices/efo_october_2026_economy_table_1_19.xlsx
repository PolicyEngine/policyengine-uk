
<file path=xl/workbook.xml><?xml version="1.0" encoding="utf-8"?>
<ns0:workbook xmlns:ns0="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7="http://schemas.openxmlformats.org/officeDocument/2006/relationships" xmlns:ns8="http://schemas.microsoft.com/office/spreadsheetml/2010/11/main" xmlns:ns9="http://schemas.microsoft.com/office/spreadsheetml/2018/calcfeatures" ns1:Ignorable="x15 xr xr6 xr10 xr2">
  <ns0:fileVersion appName="xl" lastEdited="7" lowestEdited="7" rupBuild="30430"/>
  <ns0:workbookPr codeName="ThisWorkbook"/>
  <ns1:AlternateContent>
    <ns1:Choice Requires="x15">
      <ns2:absPath url="https://tris42.sharepoint.com/sites/OBR/Shared Documents/Outputs_and_Publications/EFO/2026_Autumn/Delivery/WEBSITE/3. DFTs/"/>
    </ns1:Choice>
  </ns1:AlternateContent>
  <ns3:revisionPtr revIDLastSave="33" documentId="8_{E3F92BDA-835F-4FCE-9732-50D3BAE936FD}" ns4:coauthVersionLast="47" ns4:coauthVersionMax="47" ns5:uidLastSave="{1F31082F-0FCF-42A7-870D-1FA6A146A016}"/>
  <ns0:bookViews>
    <ns0:workbookView xWindow="-120" yWindow="-120" windowWidth="38640" windowHeight="21120" tabRatio="740" ns6:uid="{00000000-000D-0000-FFFF-FFFF00000000}"/>
  </ns0:bookViews>
  <ns0:sheets>
    <ns0:sheet name="Contents" sheetId="4" ns7:id="rId1"/>
    <ns0:sheet name="1.19" sheetId="162" ns7:id="rId21"/>
  </ns0:sheets>
  <ns0:calcPr calcId="191028"/>
  <ns0:extLst>
    <ns0:ext uri="{140A7094-0E35-4892-8432-C4D2E57EDEB5}">
      <ns8:workbookPr chartTrackingRefBase="1"/>
    </ns0:ext>
    <ns0:ext uri="{B58B0392-4F1F-4190-BB64-5DF3571DCE5F}">
      <ns9:calcFeatures>
        <ns9:feature name="microsoft.com:RD"/>
        <ns9:feature name="microsoft.com:Single"/>
        <ns9:feature name="microsoft.com:FV"/>
        <ns9:feature name="microsoft.com:CNMTM"/>
        <ns9:feature name="microsoft.com:LET_WF"/>
        <ns9:feature name="microsoft.com:LAMBDA_WF"/>
        <ns9:feature name="microsoft.com:ARRAYTEXT_WF"/>
      </ns9:calcFeatures>
    </ns0:ext>
  </ns0:extLst>
</ns0:workbook>
</file>

<file path=xl/sharedStrings.xml><?xml version="1.0" encoding="utf-8"?>
<sst xmlns="http://schemas.openxmlformats.org/spreadsheetml/2006/main" count="2715" uniqueCount="663">
  <si>
    <t>Table 1.1: GDP Expenditure Components (Chain-Linked Volumes)</t>
  </si>
  <si>
    <t>Table 1.2: GDP Expenditure Components (Current Prices)</t>
  </si>
  <si>
    <t>Table 1.3: GDP Income Components</t>
  </si>
  <si>
    <t>Table 1.4: Nominal GDP (non-seasonally adjusted)</t>
  </si>
  <si>
    <t>Table 1.5: Per capita (age +16)</t>
  </si>
  <si>
    <t>Table 1.6: Labour Market</t>
  </si>
  <si>
    <t>Table 1.7: Inflation</t>
  </si>
  <si>
    <t>Table 1.8: Balance of Payments</t>
  </si>
  <si>
    <t>Table 1.9: Market-derived assumptions</t>
  </si>
  <si>
    <t>Table 1.10: Financial Balances by Sector</t>
  </si>
  <si>
    <t>Table 1.11: Balance Sheets and Lending</t>
  </si>
  <si>
    <t>Table 1.11b: Household balance sheet - unsecured household debt</t>
  </si>
  <si>
    <t>Table 1.12: Household Disposable Income</t>
  </si>
  <si>
    <t>Table 1.13: National Minimum Wage and National Living Wage</t>
  </si>
  <si>
    <t>Table 1.14: OBR central estimate of the output gap</t>
  </si>
  <si>
    <t>Table 1.15: Potential output forecast</t>
  </si>
  <si>
    <t>Table 1.16: Housing market</t>
  </si>
  <si>
    <t>Table 1.17: Household debt servicing costs</t>
  </si>
  <si>
    <t>Table 1.18: Eligible rent growth assumptions</t>
  </si>
  <si>
    <t>Table 1.19: CPI category inflation</t>
  </si>
  <si>
    <t>Table 1.19b: CPI category weights</t>
  </si>
  <si>
    <t xml:space="preserve">Table 1.20 Electricity price forecast </t>
  </si>
  <si>
    <t>Back to contents</t>
  </si>
  <si>
    <t>1.1 GDP expenditure components (£ billion chain-linked volumes, seasonally adjusted)</t>
  </si>
  <si>
    <t xml:space="preserve"> </t>
  </si>
  <si>
    <t>Private consumption</t>
  </si>
  <si>
    <t>Government consumption</t>
  </si>
  <si>
    <t>Fixed investment</t>
  </si>
  <si>
    <t>Net acquisition of valuables</t>
  </si>
  <si>
    <t>Final domestic demand</t>
  </si>
  <si>
    <t>Change in inventories</t>
  </si>
  <si>
    <t>Total domestic demand</t>
  </si>
  <si>
    <t>Exports</t>
  </si>
  <si>
    <t>Total final expenditure</t>
  </si>
  <si>
    <t>Imports</t>
  </si>
  <si>
    <t>Statistical discrepancy</t>
  </si>
  <si>
    <t>Real GDP</t>
  </si>
  <si>
    <t>Non-oil GVA</t>
  </si>
  <si>
    <t>of which:</t>
  </si>
  <si>
    <t>Business investment</t>
  </si>
  <si>
    <t>Private dwellings</t>
  </si>
  <si>
    <t>General government</t>
  </si>
  <si>
    <t>Public corps dwellings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</si>
  <si>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</si>
  <si>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</si>
  <si>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</si>
  <si>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</si>
  <si>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</si>
  <si>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</si>
  <si>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</si>
  <si>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</si>
  <si>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</si>
  <si>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</si>
  <si>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</si>
  <si>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</si>
  <si>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</si>
  <si>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</si>
  <si>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</si>
  <si>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</si>
  <si>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</si>
  <si>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</si>
  <si>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</si>
  <si>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</si>
  <si>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</si>
  <si>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</si>
  <si>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</si>
  <si>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</si>
  <si>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</si>
  <si>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</si>
  <si>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</si>
  <si>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</si>
  <si>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</si>
  <si>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</si>
  <si>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</si>
  <si>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</si>
  <si>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</si>
  <si>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</si>
  <si>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</si>
  <si>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</si>
  <si>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</si>
  <si>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</si>
  <si>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</si>
  <si>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</si>
  <si>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</si>
  <si>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</si>
  <si>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</si>
  <si>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</si>
  <si>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</si>
  <si>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</si>
  <si>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</si>
  <si>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</si>
  <si>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</si>
  <si>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</si>
  <si>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</si>
  <si>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</si>
  <si>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</si>
  <si>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</si>
  <si>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</si>
  <si>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</si>
  <si>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</si>
  <si>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</si>
  <si>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</si>
  <si>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</si>
  <si>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</si>
  <si>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</si>
  <si>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</si>
  <si>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</si>
  <si>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</si>
  <si>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</si>
  <si>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</si>
  <si>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</si>
  <si>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</si>
  <si>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</si>
  <si>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</si>
  <si>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</si>
  <si>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</si>
  <si>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</si>
  <si>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</si>
  <si>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</si>
  <si>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</si>
  <si>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</si>
  <si>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</si>
  <si>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</si>
  <si>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</si>
  <si>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</si>
  <si>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</si>
  <si>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</si>
  <si>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</si>
  <si>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</si>
  <si>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</si>
  <si>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</si>
  <si>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</si>
  <si>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2030Q2</t>
  </si>
  <si>
    <t>2030Q3</t>
  </si>
  <si>
    <t>2030Q4</t>
  </si>
  <si>
    <t>2031Q1</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</si>
  <si>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</si>
  <si>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</si>
  <si>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</si>
  <si>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</si>
  <si>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</si>
  <si>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</si>
  <si>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</si>
  <si>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</si>
  <si>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</si>
  <si>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</si>
  <si>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</si>
  <si>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</si>
  <si>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</si>
  <si>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</si>
  <si>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</si>
  <si>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</si>
  <si>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</si>
  <si>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</si>
  <si>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</si>
  <si>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</si>
  <si>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</si>
  <si>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</si>
  <si>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</si>
  <si>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Definitions: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</si>
  <si>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</si>
  <si>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</si>
  <si>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</si>
  <si>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</si>
  <si>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</si>
  <si>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</si>
  <si>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</si>
  <si>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</si>
  <si>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</si>
  <si>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</si>
  <si>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</si>
  <si>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</si>
  <si>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</si>
  <si>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</si>
  <si>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</si>
  <si>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</si>
  <si>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1.2 GDP expenditure components (£ billion current prices, seasonally adjusted)</t>
  </si>
  <si>
    <t>GDP at market prices</t>
  </si>
  <si>
    <t>Gross national income</t>
  </si>
  <si>
    <t>Household and non-profit institutions serving households final consumption expenditure (ONS Economic Accounts Table 1.1.2, identifier: ABJQ + HAYE)</t>
  </si>
  <si>
    <t>General government final consumption (ONS Economic Accounts Table 1.1.2, identifier: NMRP)</t>
  </si>
  <si>
    <t>Total gross fixed capital formation (ONS Economic Accounts Table 1.1.2, identifier: NPQS)</t>
  </si>
  <si>
    <t>General government investment (ONS Economic Accounts Table 1.1.8, identifier: RPZG)</t>
  </si>
  <si>
    <t>Net acquisitions of valuables (ONS Economic Accounts Table 1.1.2, identifier: NPJQ)</t>
  </si>
  <si>
    <t>Change in inventories (ONS Economic Accounts Table 1.1.2, identifier: CAEX)</t>
  </si>
  <si>
    <t xml:space="preserve">Total exports (ONS Economic Accounts Table 1.1.2, identifier: IKBH)      </t>
  </si>
  <si>
    <t>Total final expenditure (ONS Economic Accounts Table 1.1.2, identifier: ABMF)</t>
  </si>
  <si>
    <t>Total imports (ONS Economic Accounts Table 1.1.2, identifier: IKBI)</t>
  </si>
  <si>
    <t>Statistical discrepancy GDP(E) (ONS Economic Accounts Table 1.1.2, identifier: GIXM)</t>
  </si>
  <si>
    <t>Gross domestic product at market prices (ONS Economic Accounts Table 1.1.2, identifier: YBHA)</t>
  </si>
  <si>
    <t>Gross national income at market prices (ONS Economic Accounts Table 1.1.1, identifier: ABMZ)</t>
  </si>
  <si>
    <t>1.3 GDP income components (£ billion current prices, seasonally adjusted)</t>
  </si>
  <si>
    <t>Labour income</t>
  </si>
  <si>
    <t>Non-oil PNFC profits</t>
  </si>
  <si>
    <t>Other income</t>
  </si>
  <si>
    <t>Gross value added at factor cost</t>
  </si>
  <si>
    <t>Taxes on products and production less subsidies</t>
  </si>
  <si>
    <t>Statistical discrepancy (income)</t>
  </si>
  <si>
    <t>Gross trading profits of non-oil private sector non-financial corporations (ONS Economic Accounts, identifier: CAED)</t>
  </si>
  <si>
    <t>Other income = employer social contribution + operating surplus of households + operating surplus of general government + operating surplus of public corporations - non-oil PNFC profits (ONS Economic Accounts, identifier: ABNG-CAED+ROYK)</t>
  </si>
  <si>
    <t>Gross value added at factor cost (ONS Economic Accounts, identifier: CGCB)</t>
  </si>
  <si>
    <t>Taxes on products and production less subsidies (ONS Economic Accounts, identifier: CMVL)</t>
  </si>
  <si>
    <t>Statistical discrepancy (ONS Economic Accounts, identifier: GIXQ)</t>
  </si>
  <si>
    <t>GDP at market prices (ONS Economic Accounts, identifier: YBHA)</t>
  </si>
  <si>
    <t>1.4 Nominal GDP (£ billion, non-seasonally adjusted)</t>
  </si>
  <si>
    <t>Calendar Year</t>
  </si>
  <si>
    <t>Centred end-March</t>
  </si>
  <si>
    <t>Nominal GDP NSA, billions (ONS identifier: BKTL)</t>
  </si>
  <si>
    <t>1.5 Per person</t>
  </si>
  <si>
    <t>By total population</t>
  </si>
  <si>
    <t>Ages 16+</t>
  </si>
  <si>
    <t>Index: 2008Q1=100</t>
  </si>
  <si>
    <t>£ thousands 
(2023 prices)</t>
  </si>
  <si>
    <t>LFS employment</t>
  </si>
  <si>
    <t>Real household disposable income</t>
  </si>
  <si>
    <t>Real consumption</t>
  </si>
  <si>
    <t>Index: 2008=100</t>
  </si>
  <si>
    <t>Index: 2008/2009 =100</t>
  </si>
  <si>
    <t>Per person LFS employment = LFS employment, all aged 16 and over (ONS identifier: MGRZ) divided by total population (ONS identifier: EBAQ)</t>
  </si>
  <si>
    <t>Per person LFS employment = LFS employment, all aged 16 and over (ONS identifier: MGRZ) divided by LFS population, all aged 16 and over (ONS identifier: MGSL)</t>
  </si>
  <si>
    <t>Per person real household disposable income = Real household disposable income (chained volume measure, identifier: NRJR) divided by total population (ONS identifier: EBAQ)</t>
  </si>
  <si>
    <t>Per person real household disposable income = Real household disposable income (chained volume measure, identifier: NRJR) divided by LFS population, all aged 16 and over (ONS identifier: MGSL)</t>
  </si>
  <si>
    <t>Per person real consumption = Household and non-profit institutions serving households final consumption expenditure (chained volume measure, identifier: ABJR+HAYO) divided by total population (ONS identifier: EBAQ)</t>
  </si>
  <si>
    <t>Per person real consumption = Household and non-profit institutions serving households final consumption expenditure (chained volume measure, identifier: ABJR+HAYO) divided by LFS population, all aged 16 and over (ONS identifier: MGSL)</t>
  </si>
  <si>
    <t>Per person real GDP = Gross domestic product at market prices (chained volume measure, identifier: ABMI) divided by total population (ONS identifier: EBAQ)</t>
  </si>
  <si>
    <t>Per person real GDP = Gross domestic product at market prices (chained volume measure, identifier: ABMI) divided by LFS population, all aged 16 and over (ONS identifier: MGSL)</t>
  </si>
  <si>
    <t>1.6 Labour market</t>
  </si>
  <si>
    <t>Employment (16+, millions)</t>
  </si>
  <si>
    <t>Employment rate 
(16+, per cent)</t>
  </si>
  <si>
    <t>Employees (16+, millions)</t>
  </si>
  <si>
    <t>ILO unemployment (16+, millions)</t>
  </si>
  <si>
    <t>ILO unemployment rate 
(16+, per cent)</t>
  </si>
  <si>
    <t>Participation rate 
(16+, per cent)</t>
  </si>
  <si>
    <t>Average hours worked</t>
  </si>
  <si>
    <t>Total hours worked (millions)</t>
  </si>
  <si>
    <t>Labour income share (per cent)</t>
  </si>
  <si>
    <t>Labour compensation share (per cent)</t>
  </si>
  <si>
    <t>Compensation of employees (£ billion) (a)</t>
  </si>
  <si>
    <t>Wages and salaries 
(£ billion) (a-b)</t>
  </si>
  <si>
    <t>Employers social contributions (£ billion) (b)</t>
  </si>
  <si>
    <t>Mixed income (£ billion)</t>
  </si>
  <si>
    <t>Average weekly earnings growth (per cent)</t>
  </si>
  <si>
    <t>Average weekly earnings index (2008Q1=100)</t>
  </si>
  <si>
    <t>Average hourly earnings index (2008Q1=100)</t>
  </si>
  <si>
    <t>Productivity per hour index (2008Q1 =100)</t>
  </si>
  <si>
    <t>Productivity per worker index 
(2008Q1 =100)</t>
  </si>
  <si>
    <t>Real product wage 
(2008Q1 =100)</t>
  </si>
  <si>
    <t>Real consumption wage 
(2008Q1 =100)</t>
  </si>
  <si>
    <t>Real weekly earnings index (2008Q1=100)</t>
  </si>
  <si>
    <t>Real hourly earnings index (2008Q1=100)</t>
  </si>
  <si>
    <t>LFS employment, all aged 16 and over (ONS identifier: MGRZ)</t>
  </si>
  <si>
    <t>LFS employment rate, all aged 16 and over (ONS identifier: MGSR)</t>
  </si>
  <si>
    <t>LFS employees equal to total employment less self-employed, all aged 16 and over (ONS identifier: MGRZ less MGRQ)</t>
  </si>
  <si>
    <t>ILO unemployment, all aged 16 and over (ONS identifier: MGSC)</t>
  </si>
  <si>
    <t>ILO unemployment rate, all aged 16 and over (ONS identifier: MGSX)</t>
  </si>
  <si>
    <t>LFS participation rate, all aged 16 and over (ONS identifier: MGWG)</t>
  </si>
  <si>
    <t>LFS average (mean) actual weekly hours worked, all workers (ONS identifier: YBUV)</t>
  </si>
  <si>
    <t>LFS total weekly hours worked, millions (ONS identifier: YBUS). Estimates before 2019Q1 calculated from LFS average actual weekly hours worked (ONS identifier: YBUV) multiplied by LFS employment (ONS identifier: MGRZ)</t>
  </si>
  <si>
    <t>Labour income share: wages and salaries (ONS identifier: DTWM) and mixed income (ONS identifier: ROYH) as a share of nominal Gross Domestic Product (ONS identifier: YBHA).</t>
  </si>
  <si>
    <t>Labour compensation share: wages and salaries (ONS identifier: DTWM), employers social contributions (ONS identifier: ROYK) and mixed income (ONS identifier: ROYH) as a share of nominal Gross Domestic Product (ONS identifier: YBHA).</t>
  </si>
  <si>
    <t>Compensation of employees, £ billion (ONS identifier: DTWM)</t>
  </si>
  <si>
    <t>Wages and salaries, £ billion, equal to total compensation of employees (ONS identifier: DTWM) minus employers social contributions (ONS identifier: ROYK)</t>
  </si>
  <si>
    <t>Employers social contributions, £ billion (ONS identifier: ROYK)</t>
  </si>
  <si>
    <t>Average weekly earnings growth: wages and salaries divided by employees, year on year growth rates and index. Wages and salaries equal to total compensation of employees (ONS identifier: DTWM) minus employers social contributions (ONS identifier: ROYK).  Employees equal to total employment (MGRZ) less self-employed (MGRQ)</t>
  </si>
  <si>
    <t xml:space="preserve">Average hourly earnings index: average weekly earnings divided by average hours worked  (ONS identifier: YBUV) </t>
  </si>
  <si>
    <t>Productivity per hour: real GDP (ONS identifier: ABMI) divided by total weekly hours worked (ONS identifier: YBUS)</t>
  </si>
  <si>
    <t>Productivity per worker index: real GDP (ONS identifier: ABMI) divided by total 16+ employment (ONS identifier: MGRZ)</t>
  </si>
  <si>
    <t>Real product wage index: Compensation of employees (ONS identifier: DTWM) divided by employees (total employment (MGRZ) less self-employed (MGRQ)) and then deflated by the Gross Valued Added deflator (GVA at current market prices (ONS identifier: ABML) divided by GVA chained volume measure (ABMM))</t>
  </si>
  <si>
    <t>Real consumption wage: Compensation of employees (ONS identifier: DTWM) divided by employees (total employment (MGRZ) less self-employed (MGRQ)) and then deflated by the consumer expenditure deflator (households final consumption expenditure at current market prices (ABJQ) plus non-profit institutions (HAYE) divided by households final consumption expenditure, chained volume measure (ABJR) plus non-profit institutions (HAYO))</t>
  </si>
  <si>
    <t>Real weekly earnings index: average weekly earnings divided by consumer price index (ONS identifier: D7BT )</t>
  </si>
  <si>
    <t>Real hourly earnings index: average hourly earnings divided by consumer price index (ONS identifier: D7BT )</t>
  </si>
  <si>
    <t xml:space="preserve">Note: Historical data from the ONS Labour Force Survey include the latest reweighted estimates published on 3 December 2024. This creates a discontinuity in the series between Q4 2018 and Q1 2019, with the exception of UK total employment, unemployment, inactivity, and participation. </t>
  </si>
  <si>
    <t>1.7 Inflation</t>
  </si>
  <si>
    <t>Year-on-year growth</t>
  </si>
  <si>
    <t>Jan 1987=100</t>
  </si>
  <si>
    <t>2015=100</t>
  </si>
  <si>
    <t>2015 = 100</t>
  </si>
  <si>
    <t>2016 = 100</t>
  </si>
  <si>
    <t>2023=100</t>
  </si>
  <si>
    <t>RPI</t>
  </si>
  <si>
    <t>RPIX</t>
  </si>
  <si>
    <t>CPI</t>
  </si>
  <si>
    <t>CPIH</t>
  </si>
  <si>
    <t>OOH</t>
  </si>
  <si>
    <t>Mortgage interest payments</t>
  </si>
  <si>
    <t>Actual rents for housing</t>
  </si>
  <si>
    <t>Private rentals for housing</t>
  </si>
  <si>
    <t>Consumer expenditure deflator</t>
  </si>
  <si>
    <t>GDP deflator</t>
  </si>
  <si>
    <t>Notes:</t>
  </si>
  <si>
    <t xml:space="preserve">Actual rents for housing’ component of CPI. This series is constructed using forecasts of social housing rents and private rents. </t>
  </si>
  <si>
    <t>All items Consumer Prices Index (CPI), All items Consumer Prices Index including owner occupiers' housing costs (CPIH), Owner occupiers' housing costs (OOH) (percentage change over 12 months) (ONS Consumer Prices Index Bulletin, identifier: D7G7, L55O, and L5P7 respectively)</t>
  </si>
  <si>
    <t>Actual rents for housing (ONS Consumer Prices Index Bulletin, identifier: D7GQ)</t>
  </si>
  <si>
    <t>Private rentals for housing (ONS Consumer Prices Index Bulletin, identifier: KYHJ)</t>
  </si>
  <si>
    <t>Consumer expenditure deflator: Households final consumption expenditure at current market prices (ABJQ) plus non-profit institutions (HAYE) divided by Households final consumption expenditure, chained volume measure (ABJR) plus non-profit institutions (HAYO)</t>
  </si>
  <si>
    <t>1.8 Balance of payments (£ billion, current prices)</t>
  </si>
  <si>
    <t>Trade balance</t>
  </si>
  <si>
    <t>Trade balance (% GDP)</t>
  </si>
  <si>
    <t>Investment income balance</t>
  </si>
  <si>
    <t>Employee income balance</t>
  </si>
  <si>
    <t>Transfers balance</t>
  </si>
  <si>
    <t>Current account balance</t>
  </si>
  <si>
    <t>Current account balance 
(% GDP)</t>
  </si>
  <si>
    <t>Balance of trade in goods &amp; services (ONS UK Trade release, identifier: IKBJ)</t>
  </si>
  <si>
    <t>Investment income balance (ONS identifier: HBOM+MT5X)</t>
  </si>
  <si>
    <t>Employee income balance (ONS identifiers: IJAH-IJAI)</t>
  </si>
  <si>
    <t>Transfers balance (ONS identifier: IKBP)</t>
  </si>
  <si>
    <t>Current balance (ONS Balance of Payments identifier: HBOP)</t>
  </si>
  <si>
    <t>Current balance (% of GDP) (ONS identifier: AA6H)</t>
  </si>
  <si>
    <t>1.9 Market-derived assumptions</t>
  </si>
  <si>
    <t>Bank Rate</t>
  </si>
  <si>
    <t>Long-term interest rates (20-year gilts)</t>
  </si>
  <si>
    <t>Average mortgage rate</t>
  </si>
  <si>
    <t>Deposit rate</t>
  </si>
  <si>
    <t>Trade-weighted sterling effective exchange rate</t>
  </si>
  <si>
    <t>US$/£ exchange rate</t>
  </si>
  <si>
    <t>€/£ exchange rate</t>
  </si>
  <si>
    <t>Oil prices ($)</t>
  </si>
  <si>
    <t>Gas prices (£)</t>
  </si>
  <si>
    <t>Equity prices</t>
  </si>
  <si>
    <t>Official Bank Rate (Bank of England, Bankstats, identifier: IUQABEDR)</t>
  </si>
  <si>
    <t>20-year government gilt yields (Bank of England, Bankstats, identifier: IUQALNPY)</t>
  </si>
  <si>
    <t>Average mortgage rate (Bank of England, Bankstats, identifier: CFMHSDE)</t>
  </si>
  <si>
    <t>Sterling effective exchange rate (index) (Bank of England, Bankstats, identifier: XUQABK67)</t>
  </si>
  <si>
    <t>US$/£ exchange rate (Bank of England, Bankstats, identifier: XUQAUSS)</t>
  </si>
  <si>
    <t>Euro/£ exchange rate (Bank of England, Bankstats, identifier: XUQAERS)</t>
  </si>
  <si>
    <t>US dollar european crude dated brent spot is used as outturn, ICE brent crude futures are used for the economy forecast window (Bloomberg).</t>
  </si>
  <si>
    <t>UK natural gas 1M Fwd (Bloomberg) - Gas price expectations averaged over our economy forecast window, day-ahead future expectations for each month used as outturn (Ofgem and Bloomberg).</t>
  </si>
  <si>
    <t>FTSE All-Share Index (Bloomberg)</t>
  </si>
  <si>
    <t>1.10 Financial balances by sector</t>
  </si>
  <si>
    <t>% GDP</t>
  </si>
  <si>
    <t>£ billion</t>
  </si>
  <si>
    <t>Household</t>
  </si>
  <si>
    <t>Corporate</t>
  </si>
  <si>
    <t>Public</t>
  </si>
  <si>
    <t>Rest of world</t>
  </si>
  <si>
    <r>
      <t>Statistical discrepancy</t>
    </r>
    <r>
      <rPr>
        <vertAlign val="superscript"/>
        <sz val="12"/>
        <rFont val="Calibri"/>
        <family val="2"/>
      </rPr>
      <t>1</t>
    </r>
  </si>
  <si>
    <r>
      <rPr>
        <vertAlign val="superscript"/>
        <sz val="8"/>
        <color indexed="8"/>
        <rFont val="Calibri"/>
        <family val="2"/>
      </rPr>
      <t>1</t>
    </r>
    <r>
      <rPr>
        <sz val="8"/>
        <color indexed="8"/>
        <rFont val="Calibri"/>
        <family val="2"/>
      </rPr>
      <t>The sum of financial balances by sector is equal (but opposite sign) to the residual error between the expenditure and income based estimates of GDP.</t>
    </r>
  </si>
  <si>
    <t>Household net lending (ONS Economic Accounts, identifier: RPZT), includes non-profit institutions serving households</t>
  </si>
  <si>
    <t>Corporate net lending (ONS Economic Accounts, identifier: RPYN+RQBV)</t>
  </si>
  <si>
    <t>Public sector net lending (ONS Economic Accounts, identifiers: RQBN+RPZD)</t>
  </si>
  <si>
    <t>Rest of the world net lending (ONS Economic Accounts, identifier: RQCH)</t>
  </si>
  <si>
    <t>1.11 Household balance sheet, PNFC balance sheet, and bank lending</t>
  </si>
  <si>
    <t>Households</t>
  </si>
  <si>
    <r>
      <t>Private non-financial companies</t>
    </r>
    <r>
      <rPr>
        <vertAlign val="superscript"/>
        <sz val="12"/>
        <color indexed="8"/>
        <rFont val="Calibri"/>
        <family val="2"/>
      </rPr>
      <t>2</t>
    </r>
  </si>
  <si>
    <t>Lending</t>
  </si>
  <si>
    <t>Physical assets (£bn)</t>
  </si>
  <si>
    <t>Financial assets (£bn)</t>
  </si>
  <si>
    <t>Liabilities (£bn)</t>
  </si>
  <si>
    <t>Secured liabilities (£bn)</t>
  </si>
  <si>
    <t>Other liabilities (£bn)</t>
  </si>
  <si>
    <t>Total net worth (£bn)</t>
  </si>
  <si>
    <t>Disposable income (£bn)</t>
  </si>
  <si>
    <r>
      <t>Assets to income ratio</t>
    </r>
    <r>
      <rPr>
        <vertAlign val="superscript"/>
        <sz val="12"/>
        <color indexed="8"/>
        <rFont val="Calibri"/>
        <family val="2"/>
      </rPr>
      <t>1</t>
    </r>
    <r>
      <rPr>
        <sz val="12"/>
        <color indexed="8"/>
        <rFont val="Calibri"/>
        <family val="2"/>
      </rPr>
      <t xml:space="preserve"> (per cent)</t>
    </r>
  </si>
  <si>
    <r>
      <t>Liabilities to income ratio</t>
    </r>
    <r>
      <rPr>
        <vertAlign val="superscript"/>
        <sz val="12"/>
        <color indexed="8"/>
        <rFont val="Calibri"/>
        <family val="2"/>
      </rPr>
      <t>1</t>
    </r>
    <r>
      <rPr>
        <sz val="12"/>
        <color indexed="8"/>
        <rFont val="Calibri"/>
        <family val="2"/>
      </rPr>
      <t xml:space="preserve"> (per cent)</t>
    </r>
  </si>
  <si>
    <r>
      <t>Secured liabilities to income ratio</t>
    </r>
    <r>
      <rPr>
        <vertAlign val="superscript"/>
        <sz val="12"/>
        <color indexed="8"/>
        <rFont val="Calibri"/>
        <family val="2"/>
      </rPr>
      <t>1</t>
    </r>
    <r>
      <rPr>
        <sz val="12"/>
        <color indexed="8"/>
        <rFont val="Calibri"/>
        <family val="2"/>
      </rPr>
      <t xml:space="preserve"> (per cent)</t>
    </r>
  </si>
  <si>
    <r>
      <t>Other liabilities to income ratio</t>
    </r>
    <r>
      <rPr>
        <vertAlign val="superscript"/>
        <sz val="12"/>
        <color indexed="8"/>
        <rFont val="Calibri"/>
        <family val="2"/>
      </rPr>
      <t>1</t>
    </r>
    <r>
      <rPr>
        <sz val="12"/>
        <color indexed="8"/>
        <rFont val="Calibri"/>
        <family val="2"/>
      </rPr>
      <t xml:space="preserve"> (per cent)</t>
    </r>
  </si>
  <si>
    <r>
      <t>Total net worth to income ratio</t>
    </r>
    <r>
      <rPr>
        <vertAlign val="superscript"/>
        <sz val="12"/>
        <color indexed="8"/>
        <rFont val="Calibri"/>
        <family val="2"/>
      </rPr>
      <t>1</t>
    </r>
    <r>
      <rPr>
        <sz val="12"/>
        <color indexed="8"/>
        <rFont val="Calibri"/>
        <family val="2"/>
      </rPr>
      <t xml:space="preserve"> (per cent)</t>
    </r>
  </si>
  <si>
    <t>UK sterling bank loans (£bn)</t>
  </si>
  <si>
    <t>Other financial liabilities (£bn)</t>
  </si>
  <si>
    <t>Profits (non-oil) (£bn)</t>
  </si>
  <si>
    <r>
      <t>Financial asset to profits ratio</t>
    </r>
    <r>
      <rPr>
        <vertAlign val="superscript"/>
        <sz val="12"/>
        <color indexed="8"/>
        <rFont val="Calibri"/>
        <family val="2"/>
      </rPr>
      <t>1</t>
    </r>
    <r>
      <rPr>
        <sz val="12"/>
        <color indexed="8"/>
        <rFont val="Calibri"/>
        <family val="2"/>
      </rPr>
      <t xml:space="preserve"> (per cent)</t>
    </r>
  </si>
  <si>
    <r>
      <t>Financial liability to profits ratio</t>
    </r>
    <r>
      <rPr>
        <vertAlign val="superscript"/>
        <sz val="12"/>
        <color indexed="8"/>
        <rFont val="Calibri"/>
        <family val="2"/>
      </rPr>
      <t>1</t>
    </r>
    <r>
      <rPr>
        <sz val="12"/>
        <color indexed="8"/>
        <rFont val="Calibri"/>
        <family val="2"/>
      </rPr>
      <t xml:space="preserve"> (per cent)</t>
    </r>
  </si>
  <si>
    <t>UK bank sterling-denominated lending to firms and households (£bn)</t>
  </si>
  <si>
    <r>
      <t>UK bank sterling-denominated lending to firms and households to GDP ratio</t>
    </r>
    <r>
      <rPr>
        <vertAlign val="superscript"/>
        <sz val="12"/>
        <color indexed="8"/>
        <rFont val="Calibri"/>
        <family val="2"/>
      </rPr>
      <t>1</t>
    </r>
    <r>
      <rPr>
        <sz val="12"/>
        <color indexed="8"/>
        <rFont val="Calibri"/>
        <family val="2"/>
      </rPr>
      <t xml:space="preserve"> (per cent)</t>
    </r>
  </si>
  <si>
    <t>Household financial assets (ONS Economic Accounts, identifier: NNML)</t>
  </si>
  <si>
    <t>Corporate financial assets (ONS Economic Accounts, identifier: NKWX)</t>
  </si>
  <si>
    <r>
      <t xml:space="preserve">UK bank sterling-denominated lending to firms and households (ONS Economic Accounts, identifier: NLBE-NLBG+NNPP)
</t>
    </r>
    <r>
      <rPr>
        <vertAlign val="superscript"/>
        <sz val="8"/>
        <color rgb="FF000000"/>
        <rFont val="Calibri"/>
        <family val="2"/>
      </rPr>
      <t>1</t>
    </r>
    <r>
      <rPr>
        <sz val="8"/>
        <color indexed="8"/>
        <rFont val="Calibri"/>
        <family val="2"/>
      </rPr>
      <t xml:space="preserve"> Ratios are calculated as stock relative to sum of flows over the preceding four quarters.</t>
    </r>
  </si>
  <si>
    <t>Household physical assets (OBR interpolation of annual ONS data. Blue Book, identifiers: E42X+NG45-MU8A-MHT3+CGRO)</t>
  </si>
  <si>
    <t>Corporate financial liabilities (ONS Economic Accounts, identifier: NLBB)</t>
  </si>
  <si>
    <t>Household financial liabilities (ONS Economic Accounts, identifier: NNPP)</t>
  </si>
  <si>
    <t>Non-oil PNFC profits (ONS Economic Accounts identifier: CAED, adjusted in Q1, Q2 and Q3 2020 for the revised alignment adjustment DMUQ)</t>
  </si>
  <si>
    <t>Household secured liabilities (ONS Economic Accounts, identifier: NNRP)</t>
  </si>
  <si>
    <t>Household other liabilities (ONS Economic Accounts, identifier: NNPP-NNRP)</t>
  </si>
  <si>
    <r>
      <rPr>
        <vertAlign val="superscript"/>
        <sz val="8"/>
        <color rgb="FF000000"/>
        <rFont val="Calibri"/>
        <family val="2"/>
      </rPr>
      <t>1</t>
    </r>
    <r>
      <rPr>
        <sz val="8"/>
        <color indexed="8"/>
        <rFont val="Calibri"/>
        <family val="2"/>
      </rPr>
      <t xml:space="preserve"> Ratios are calculated as stock relative to sum of flows over the preceding four quarters.</t>
    </r>
  </si>
  <si>
    <t>Household total net worth (ONS Economic Accounts and Blue Book, identifier: NZEA+E42X+NG45-MU8A-MHT3+CGRO)</t>
  </si>
  <si>
    <r>
      <rPr>
        <vertAlign val="superscript"/>
        <sz val="8"/>
        <color indexed="8"/>
        <rFont val="Calibri"/>
        <family val="2"/>
      </rPr>
      <t>2</t>
    </r>
    <r>
      <rPr>
        <sz val="8"/>
        <color indexed="8"/>
        <rFont val="Calibri"/>
        <family val="2"/>
      </rPr>
      <t xml:space="preserve"> We do not produce a physical asset forecast so we cannot produce a forecast of PNFC net worth.</t>
    </r>
  </si>
  <si>
    <t>Disposable income (ONS Economic Accounts, identifier: RPHQ)</t>
  </si>
  <si>
    <r>
      <rPr>
        <vertAlign val="superscript"/>
        <sz val="8"/>
        <color indexed="8"/>
        <rFont val="Calibri"/>
        <family val="2"/>
      </rPr>
      <t>1</t>
    </r>
    <r>
      <rPr>
        <sz val="8"/>
        <color indexed="8"/>
        <rFont val="Calibri"/>
        <family val="2"/>
      </rPr>
      <t xml:space="preserve"> Ratios are calculated as stock relative to sum of flows over the preceding four quarters.</t>
    </r>
  </si>
  <si>
    <t>1.11b Household balance sheet - unsecured household debt</t>
  </si>
  <si>
    <t>Student debt (£bn)</t>
  </si>
  <si>
    <t>Other unsecured liabilities (£bn)</t>
  </si>
  <si>
    <t>Total unsecured liabilities (£bn)</t>
  </si>
  <si>
    <r>
      <t>Student debt to income ratio</t>
    </r>
    <r>
      <rPr>
        <vertAlign val="superscript"/>
        <sz val="12"/>
        <color indexed="8"/>
        <rFont val="Calibri"/>
        <family val="2"/>
      </rPr>
      <t>1</t>
    </r>
    <r>
      <rPr>
        <sz val="12"/>
        <color indexed="8"/>
        <rFont val="Calibri"/>
        <family val="2"/>
      </rPr>
      <t xml:space="preserve"> (per cent)</t>
    </r>
  </si>
  <si>
    <r>
      <t>Other unsecured liabilities to income ratio</t>
    </r>
    <r>
      <rPr>
        <vertAlign val="superscript"/>
        <sz val="12"/>
        <color indexed="8"/>
        <rFont val="Calibri"/>
        <family val="2"/>
      </rPr>
      <t>1</t>
    </r>
    <r>
      <rPr>
        <sz val="12"/>
        <color indexed="8"/>
        <rFont val="Calibri"/>
        <family val="2"/>
      </rPr>
      <t xml:space="preserve"> (per cent)</t>
    </r>
  </si>
  <si>
    <r>
      <t>Total unsecured liabilities to income ratio</t>
    </r>
    <r>
      <rPr>
        <vertAlign val="superscript"/>
        <sz val="12"/>
        <color indexed="8"/>
        <rFont val="Calibri"/>
        <family val="2"/>
      </rPr>
      <t>1</t>
    </r>
    <r>
      <rPr>
        <sz val="12"/>
        <color indexed="8"/>
        <rFont val="Calibri"/>
        <family val="2"/>
      </rPr>
      <t xml:space="preserve"> (per cent)</t>
    </r>
  </si>
  <si>
    <t>Student debt (ONS Economic Accounts, identifier: CT9E)</t>
  </si>
  <si>
    <t>Household other unsecured liabilities (ONS Economic Accounts, identifier: NNPP-NNRP-CT9E)</t>
  </si>
  <si>
    <t>Household total unsecured liabilities (ONS Economic Accounts, identifier: NNPP-NNRP)</t>
  </si>
  <si>
    <t>1.12 Household disposable income (£ billion current prices, seasonally adjusted)</t>
  </si>
  <si>
    <t>Labour Income 
(a + b - c)</t>
  </si>
  <si>
    <t>Employee compensation (a)</t>
  </si>
  <si>
    <t>Mixed Income (b)</t>
  </si>
  <si>
    <t>Employer social contributions (c)</t>
  </si>
  <si>
    <t>Non-labour income</t>
  </si>
  <si>
    <t>Net benefits and taxes</t>
  </si>
  <si>
    <t>Household disposable income</t>
  </si>
  <si>
    <t>Labour income = Employee compensation (including net compensation from abroad) + mixed income (largely self-employment income) - employer social contributions. (ONS Economic Accounts, identifier: DTWM+ROYH-ROYK+IJAH-IJAI)</t>
  </si>
  <si>
    <t xml:space="preserve">Non-labour income = Operating surplus of households + net property income + imputed social contributions - social benefits (use) + net miscellaneous transfers. (ONS Economic Accounts identifier: CAEN+ROYL-ROYT+L8RF-QWMZ+RPHO-RPID - (L8PE+L8Q2+L8LQ) - (CX3X+FJBH)). </t>
  </si>
  <si>
    <t xml:space="preserve">Net benefits and taxes = Social benefits (resource) - taxation on income and wealth - employees' social contributions (excluding employee contributions to funded pension schemes). (ONS Economic Accounts, identifier: RPHL-RPHS-RPHT-L8PS-L8Q8-L8LU + (L8PE+L8Q2+L8LQ) + (CX3X+FJBH)). </t>
  </si>
  <si>
    <t>Household disposable income (ONS Economic Accounts, identifier: RPHQ)</t>
  </si>
  <si>
    <t xml:space="preserve">1.13 National Living Wage </t>
  </si>
  <si>
    <t xml:space="preserve">£ per hour </t>
  </si>
  <si>
    <t>1.14 OBR central estimate of the output gap</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</si>
  <si>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</si>
  <si>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</si>
  <si>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</si>
  <si>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</si>
  <si>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</si>
  <si>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</si>
  <si>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</si>
  <si>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</si>
  <si>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</si>
  <si>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</si>
  <si>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</si>
  <si>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</si>
  <si>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</si>
  <si>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</si>
  <si>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</si>
  <si>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</si>
  <si>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</si>
  <si>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</si>
  <si>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</si>
  <si>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</si>
  <si>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</si>
  <si>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</si>
  <si>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</si>
  <si>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</si>
  <si>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</si>
  <si>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</si>
  <si>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</si>
  <si>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</si>
  <si>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</si>
  <si>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</si>
  <si>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</si>
  <si>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</si>
  <si>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</si>
  <si>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</si>
  <si>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</si>
  <si>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</si>
  <si>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</si>
  <si>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</si>
  <si>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</si>
  <si>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</si>
  <si>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</si>
  <si>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</si>
  <si>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</si>
  <si>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</si>
  <si>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</si>
  <si>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</si>
  <si>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</si>
  <si>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</si>
  <si>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</si>
  <si>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</si>
  <si>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</si>
  <si>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</si>
  <si>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</si>
  <si>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</si>
  <si>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</si>
  <si>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</si>
  <si>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</si>
  <si>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</si>
  <si>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</si>
  <si>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</si>
  <si>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</si>
  <si>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</si>
  <si>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</si>
  <si>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</si>
  <si>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</si>
  <si>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</si>
  <si>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</si>
  <si>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</si>
  <si>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</si>
  <si>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</si>
  <si>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</si>
  <si>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</si>
  <si>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</si>
  <si>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</si>
  <si>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</si>
  <si>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</si>
  <si>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</si>
  <si>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</si>
  <si>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</si>
  <si>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</si>
  <si>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</si>
  <si>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</si>
  <si>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</si>
  <si>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</si>
  <si>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</si>
  <si>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</si>
  <si>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</si>
  <si>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</si>
  <si>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</si>
  <si>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</si>
  <si>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</si>
  <si>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</si>
  <si>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</si>
  <si>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</si>
  <si>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</si>
  <si>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</si>
  <si>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</si>
  <si>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</si>
  <si>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</si>
  <si>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</si>
  <si>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</si>
  <si>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</si>
  <si>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</si>
  <si>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</si>
  <si>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</si>
  <si>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</si>
  <si>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</si>
  <si>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</si>
  <si>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</si>
  <si>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</si>
  <si>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</si>
  <si>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</si>
  <si>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</si>
  <si>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</si>
  <si>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</si>
  <si>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</si>
  <si>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</si>
  <si>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</si>
  <si>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</si>
  <si>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</si>
  <si>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</si>
  <si>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</si>
  <si>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</si>
  <si>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</si>
  <si>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</si>
  <si>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</si>
  <si>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</si>
  <si>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</si>
  <si>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</si>
  <si>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</si>
  <si>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</si>
  <si>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</si>
  <si>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</si>
  <si>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</si>
  <si>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</si>
  <si>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</si>
  <si>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</si>
  <si>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</si>
  <si>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</si>
  <si>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</si>
  <si>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</si>
  <si>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</si>
  <si>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</si>
  <si>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</si>
  <si>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 xml:space="preserve">2020Q3 </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</si>
  <si>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</si>
  <si>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</si>
  <si>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</si>
  <si>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</si>
  <si>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</si>
  <si>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</si>
  <si>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</si>
  <si>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</si>
  <si>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</si>
  <si>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</si>
  <si>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</si>
  <si>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</si>
  <si>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</si>
  <si>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</si>
  <si>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</si>
  <si>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</si>
  <si>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</si>
  <si>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</si>
  <si>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</si>
  <si>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</si>
  <si>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</si>
  <si>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</si>
  <si>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</si>
  <si>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</si>
  <si>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</si>
  <si>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</si>
  <si>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</si>
  <si>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</si>
  <si>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</si>
  <si>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</si>
  <si>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</si>
  <si>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</si>
  <si>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</si>
  <si>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</si>
  <si>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</si>
  <si>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</si>
  <si>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Note: Estimates of the output gap between 1994 and 2025 are based on our suite of output gap models. Estimates prior to 1994 are based on our 'principle component analysis'. These estimates should be treated with extra caution prior to 1994 as only a limited number of the data sources used in this method are available for this period. For more details, see Pybus (2011): OBR Working Paper No.1: Estimating the UK’s historical output gap.</t>
  </si>
  <si>
    <t>1.15 Potential output forecast</t>
  </si>
  <si>
    <t>Levels</t>
  </si>
  <si>
    <t>Growth rates</t>
  </si>
  <si>
    <r>
      <t>Potential output</t>
    </r>
    <r>
      <rPr>
        <vertAlign val="superscript"/>
        <sz val="12"/>
        <color indexed="8"/>
        <rFont val="Calibri"/>
        <family val="2"/>
      </rPr>
      <t xml:space="preserve">1 </t>
    </r>
    <r>
      <rPr>
        <sz val="12"/>
        <color indexed="8"/>
        <rFont val="Calibri"/>
        <family val="2"/>
      </rPr>
      <t>(£m)</t>
    </r>
  </si>
  <si>
    <t>Population (16+)</t>
  </si>
  <si>
    <r>
      <t xml:space="preserve"> Potential employment rate</t>
    </r>
    <r>
      <rPr>
        <vertAlign val="superscript"/>
        <sz val="12"/>
        <color indexed="8"/>
        <rFont val="Calibri"/>
        <family val="2"/>
      </rPr>
      <t>2</t>
    </r>
    <r>
      <rPr>
        <sz val="12"/>
        <color indexed="8"/>
        <rFont val="Calibri"/>
        <family val="2"/>
      </rPr>
      <t xml:space="preserve"> (16+)</t>
    </r>
  </si>
  <si>
    <t xml:space="preserve">Potential average hours </t>
  </si>
  <si>
    <t xml:space="preserve">Potential productivity per hour </t>
  </si>
  <si>
    <r>
      <t>Potential output</t>
    </r>
    <r>
      <rPr>
        <vertAlign val="superscript"/>
        <sz val="12"/>
        <color indexed="8"/>
        <rFont val="Calibri"/>
        <family val="2"/>
      </rPr>
      <t xml:space="preserve">3 </t>
    </r>
  </si>
  <si>
    <t xml:space="preserve">Potential employment rate </t>
  </si>
  <si>
    <t xml:space="preserve">OBR estimate of potential population, based on LFS household population, all aged 16 and over (ONS identifier: MGSL) </t>
  </si>
  <si>
    <t>OBR estimate of the potential participation rate, on the same basis as the LFS participation rate, all aged 16 and over (ONS identifier: MGWG)</t>
  </si>
  <si>
    <t>OBR estimate of the equilibirum unemployment rate, on the same basis as the ILO unemployment rate, all aged 16 and over (ONS identifier: MGSX)</t>
  </si>
  <si>
    <t>OBR estimate of the potential employment rate, on the same basis as the LFS employment rate, all aged 16 and over (ONS identifier: MGSR)</t>
  </si>
  <si>
    <t>OBR estimate of potential average hours, on the same basis as LFS average (mean) actual weekly hours worked, all workers (ONS identifier: YBUV)</t>
  </si>
  <si>
    <t>OBR estimate of potential output per hour, on the same basis as GDP (ONS identifier: ABMI) divided by total weekly hours worked (ONS identifier: YBUS)</t>
  </si>
  <si>
    <r>
      <rPr>
        <vertAlign val="superscript"/>
        <sz val="8"/>
        <rFont val="Calibri"/>
        <family val="2"/>
      </rPr>
      <t>1</t>
    </r>
    <r>
      <rPr>
        <sz val="8"/>
        <color indexed="8"/>
        <rFont val="Calibri"/>
        <family val="2"/>
      </rPr>
      <t xml:space="preserve"> Potential output can be calculated by multiplying potential population,  productivity, average hours and the employment rate divided by 100. </t>
    </r>
  </si>
  <si>
    <r>
      <rPr>
        <vertAlign val="superscript"/>
        <sz val="8"/>
        <color indexed="8"/>
        <rFont val="Calibri"/>
        <family val="2"/>
      </rPr>
      <t>2</t>
    </r>
    <r>
      <rPr>
        <sz val="8"/>
        <color indexed="8"/>
        <rFont val="Calibri"/>
        <family val="2"/>
      </rPr>
      <t xml:space="preserve"> The potential employment rate is determined by multiplying the potential participation rate by 1 minus the equilibrium unemployment rate divided by 100. </t>
    </r>
  </si>
  <si>
    <r>
      <rPr>
        <vertAlign val="superscript"/>
        <sz val="8"/>
        <color indexed="8"/>
        <rFont val="Calibri"/>
        <family val="2"/>
      </rPr>
      <t>3</t>
    </r>
    <r>
      <rPr>
        <sz val="8"/>
        <color indexed="8"/>
        <rFont val="Calibri"/>
        <family val="2"/>
      </rPr>
      <t xml:space="preserve"> Potential output growth is approximately equal to the sum of the growth rates of potential population, the employment rate, average hours and productivity.</t>
    </r>
  </si>
  <si>
    <t>1.16 Housing market</t>
  </si>
  <si>
    <t>House price index 
(Jan 2023 = 100)</t>
  </si>
  <si>
    <t>House price index 
(per cent change on a year earlier)</t>
  </si>
  <si>
    <t>Residential property transactions 
(000s, seasonally adjusted)</t>
  </si>
  <si>
    <t>Private enterprise housing starts, UK (seasonally adjusted)</t>
  </si>
  <si>
    <t>Private enterprise housing completions, UK (seasonally adjusted)</t>
  </si>
  <si>
    <t>Housing stock, UK (000s)</t>
  </si>
  <si>
    <t>Net additions to the housing stock, UK (000s)</t>
  </si>
  <si>
    <t>Turnover rate</t>
  </si>
  <si>
    <t>Seasonally adjusted ONS House Price Index (House Price Index Statistical Bulletin)</t>
  </si>
  <si>
    <t>Number of residential property transaction completions with value £40,000 or above, seasonally adjusted (HMRC UK Property Transaction Statistics)</t>
  </si>
  <si>
    <t>Number of private enterprise housing starts and completions, seasonally adjusted OBR estimates based on ONS, House building, UK: permanent dwellings started and completed by country.</t>
  </si>
  <si>
    <t>Net additions are changes in the UK housing stock which are OBR estimates based on housing stock data from DLUHC, StatsWales, Scottish Government and Northern Ireland Department for communities. Annual net additions are calculated as the change in the average size of the stock between adjacent years.</t>
  </si>
  <si>
    <t>Turnover rate is calculated as the number of residential property transactions divided by the stock of dwellings.</t>
  </si>
  <si>
    <t>1.17 Household debt servicing costs</t>
  </si>
  <si>
    <t>Household debt servicing costs 
(rolling four quarter sum, £bn)</t>
  </si>
  <si>
    <t>Household disposable income 
(rolling four quarter sum, £bn)</t>
  </si>
  <si>
    <t>Household debt servicing costs 
(per cent of household disposable income, rolling four quarter sum)</t>
  </si>
  <si>
    <t>Rolling four-quarter sum of total household interest payments excluding FISIM (ONS Economic Accounts, identifier: J4X3).</t>
  </si>
  <si>
    <t>Rolling four-quarter sum of household disposable income (ONS Economic Accounts, identifier: RPHQ).</t>
  </si>
  <si>
    <t>1.18 Eligible rent growth assumptions</t>
  </si>
  <si>
    <t>2023-30</t>
  </si>
  <si>
    <t>Private sector</t>
  </si>
  <si>
    <t>Local Housing Allowance</t>
  </si>
  <si>
    <t>Non-LHA Regulated</t>
  </si>
  <si>
    <t>Non-LHA Deregulated</t>
  </si>
  <si>
    <t>Social sector</t>
  </si>
  <si>
    <t>Local Authorities</t>
  </si>
  <si>
    <t>Registered Social Landlords</t>
  </si>
  <si>
    <t>The assumptions provided in this table cover only growth in the element of rent eligible for Housing Benefit and not overall market rents. The eligible rent is based on the amount paid by the tenant to occupy the property not including bills and some service charges. In many cases (mainly Private Rented Sector tenants), the amount of eligible rent is also influenced by the amount of maximum rent determined by LHA regulations, or by the Rent Officer.</t>
  </si>
  <si>
    <t>1.19 CPI category inflation</t>
  </si>
  <si>
    <t>Food, beverages and tobacco</t>
  </si>
  <si>
    <t>Utilities</t>
  </si>
  <si>
    <t>Fuels</t>
  </si>
  <si>
    <t>Other tradables</t>
  </si>
  <si>
    <t>Other non-tradables</t>
  </si>
  <si>
    <t>1.19b CPI category weights</t>
  </si>
  <si>
    <t>1.20 Electricity price forecast</t>
  </si>
  <si>
    <t>Note: UK Base Electricity Future 1M fwd (Bloomberg). Electricity price expectations averaged over our determinant window for first three years of forecast, grown in line with global inflation thereafter, average monthly spot prices used as outturn.</t>
  </si>
  <si>
    <t>The assumptions provided in this table include the impact of social rent convergence. We assume that all cases in scope of convergence are below national formula rents for modelling purposes. Some cases may also converge earlier than is modelled, and therefore require smaller rent increases each financial year, decreasing the average rental growth.</t>
  </si>
  <si>
    <t>2031Q2</t>
  </si>
  <si>
    <t>2031Q3</t>
  </si>
  <si>
    <t>2031Q4</t>
  </si>
  <si>
    <t>2032Q1</t>
  </si>
  <si>
    <t>2031-32</t>
  </si>
  <si>
    <t>Pounds per MWh</t>
  </si>
  <si>
    <t>CPI weights are denoted in parts per thousand and rounded to the nearest tenth. Figures may not add up to 1000 due to rounding.</t>
  </si>
  <si>
    <t>RPI, RPIX, CPI and CPIH inflation are based on outturn data up to and including July 2026.</t>
  </si>
  <si>
    <t>All items Retail Prices Index (RPI), all items Retail Prices Index excluding mortgage interest payments (RPIX) (percentage change over 12 months) (ONS Consumer Prices Index Bulletin, identifier: CZBH and CDKQ respectively). Due to a change in methodology we will not forecast RPIX after 2029 Q4.</t>
  </si>
  <si>
    <t>These figures now include compositional shifts, including the Move to UC, the increase in use of affordable tenancies and increases to Supported Housing caseloads.</t>
  </si>
  <si>
    <t>Consumer expenditure deflator and GDP deflator are based on the Quarterly National Accounts released by the ONS on 13 August 2026.</t>
  </si>
  <si>
    <t>Mortgage Interest Payments (ONS Consumer Prices Index Statistical Bulletin, identifier: CZCR). Due to the announced change in RPI methodology by the ONS from February 2030 we do not forecast RPI Mortgage Interest Payments and RPIX after 2029 Q4.</t>
  </si>
  <si>
    <t>Potential participation rate</t>
  </si>
  <si>
    <t>Equilibrium unemployment rate</t>
  </si>
  <si>
    <t>Labour income = Wages &amp; Salaries + Mixed Income (ONS Economic Accounts, identifier: DTWM-ROYK+RNKX)</t>
  </si>
  <si>
    <t>October 2026 Economic and fiscal outlook – detailed forecast tables: economy</t>
  </si>
  <si>
    <t>National Living Wage (NLW)</t>
  </si>
  <si>
    <t xml:space="preserve">Note: The NLW has been set by the Government up until 2027 following recommendations from the Low Pay Commission (LPC) in accordance with its remit, and the state of the labour market and economy. Figures beyond 2027 are OBR estimates consistent with the rest of our economy forecast. </t>
  </si>
</sst>
</file>

<file path=xl/_rels/workbook.xml.rels><ns0:Relationships xmlns:ns0="http://schemas.openxmlformats.org/package/2006/relationships"><ns0:Relationship Id="rId26" Type="http://schemas.openxmlformats.org/officeDocument/2006/relationships/sharedStrings" Target="sharedStrings.xml" /><ns0:Relationship Id="rId21" Type="http://schemas.openxmlformats.org/officeDocument/2006/relationships/worksheet" Target="worksheets/sheet21.xml" /><ns0:Relationship Id="rId1" Type="http://schemas.openxmlformats.org/officeDocument/2006/relationships/worksheet" Target="worksheets/sheet1.xml" /></ns0: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sheetPr>
  <dimension ref="A1:N34"/>
  <sheetViews>
    <sheetView showFormulas="1" tabSelected="1" zoomScaleNormal="100" zoomScaleSheetLayoutView="100" workbookViewId="0"/>
  </sheetViews>
  <sheetFormatPr defaultColWidth="8.77734375" defaultRowHeight="15" x14ac:dyDescent="0.25"/>
  <cols>
    <col min="1" max="1" width="2.88671875" style="1" customWidth="1"/>
    <col min="2" max="2" width="76.109375" style="1" customWidth="1"/>
    <col min="3" max="16384" width="8.77734375" style="1"/>
  </cols>
  <sheetData>
    <row r="1" spans="1:14" ht="33.75" customHeight="1" thickBot="1" x14ac:dyDescent="0.3">
      <c r="A1" s="9"/>
      <c r="B1" s="5"/>
      <c r="C1" s="5"/>
      <c r="D1" s="5"/>
      <c r="E1" s="5"/>
      <c r="F1" s="5"/>
      <c r="G1" s="5"/>
      <c r="H1" s="5"/>
      <c r="I1" s="5"/>
      <c r="J1" s="5"/>
      <c r="K1" s="5"/>
      <c r="L1" s="5"/>
      <c r="M1" s="5"/>
      <c r="N1" s="5"/>
    </row>
    <row r="2" spans="1:14" ht="33" customHeight="1" thickBot="1" x14ac:dyDescent="0.3">
      <c r="A2" s="5"/>
      <c r="B2" s="298" t="s">
        <v>660</v>
      </c>
      <c r="C2" s="5"/>
      <c r="D2" s="5"/>
      <c r="E2" s="5"/>
      <c r="F2" s="5"/>
      <c r="G2" s="5"/>
      <c r="H2" s="5"/>
      <c r="I2" s="5"/>
      <c r="J2" s="5"/>
      <c r="K2" s="5"/>
      <c r="L2" s="5"/>
      <c r="M2" s="5"/>
      <c r="N2" s="5"/>
    </row>
    <row r="3" spans="1:14" ht="29.25" customHeight="1" x14ac:dyDescent="0.25">
      <c r="A3" s="11"/>
      <c r="B3" s="527" t="s">
        <v>0</v>
      </c>
      <c r="C3" s="5"/>
      <c r="E3" s="5"/>
      <c r="F3" s="5"/>
      <c r="G3" s="5"/>
      <c r="H3" s="5"/>
      <c r="I3" s="5"/>
      <c r="J3" s="5"/>
      <c r="K3" s="5"/>
      <c r="L3" s="5"/>
      <c r="M3" s="5"/>
      <c r="N3" s="5"/>
    </row>
    <row r="4" spans="1:14" ht="15.75" customHeight="1" x14ac:dyDescent="0.25">
      <c r="A4" s="11"/>
      <c r="B4" s="527" t="s">
        <v>1</v>
      </c>
      <c r="C4" s="5"/>
      <c r="D4" s="5"/>
      <c r="E4" s="5"/>
      <c r="F4" s="5"/>
      <c r="G4" s="5"/>
      <c r="H4" s="5"/>
      <c r="I4" s="5"/>
      <c r="J4" s="5"/>
      <c r="K4" s="5"/>
      <c r="L4" s="5"/>
      <c r="M4" s="5"/>
      <c r="N4" s="5"/>
    </row>
    <row r="5" spans="1:14" ht="15.75" customHeight="1" x14ac:dyDescent="0.25">
      <c r="A5" s="11"/>
      <c r="B5" s="527" t="s">
        <v>2</v>
      </c>
      <c r="C5" s="5"/>
      <c r="D5" s="5"/>
      <c r="E5" s="5"/>
      <c r="F5" s="5"/>
      <c r="G5" s="5"/>
      <c r="H5" s="5"/>
      <c r="I5" s="5"/>
      <c r="J5" s="5"/>
      <c r="K5" s="5"/>
      <c r="L5" s="5"/>
      <c r="M5" s="5"/>
      <c r="N5" s="5"/>
    </row>
    <row r="6" spans="1:14" ht="15.75" customHeight="1" x14ac:dyDescent="0.25">
      <c r="A6" s="11"/>
      <c r="B6" s="527" t="s">
        <v>3</v>
      </c>
      <c r="C6" s="5"/>
      <c r="D6" s="5"/>
      <c r="E6" s="5"/>
      <c r="F6" s="5"/>
      <c r="G6" s="5"/>
      <c r="H6" s="5"/>
      <c r="I6" s="5"/>
      <c r="J6" s="5"/>
      <c r="K6" s="5"/>
      <c r="L6" s="5"/>
      <c r="M6" s="5"/>
      <c r="N6" s="5"/>
    </row>
    <row r="7" spans="1:14" ht="15.75" customHeight="1" x14ac:dyDescent="0.25">
      <c r="A7" s="11"/>
      <c r="B7" s="527" t="s">
        <v>4</v>
      </c>
      <c r="C7" s="5"/>
      <c r="D7" s="5"/>
      <c r="E7" s="5"/>
      <c r="F7" s="5"/>
      <c r="G7" s="5"/>
      <c r="H7" s="5"/>
      <c r="I7" s="5"/>
      <c r="J7" s="5"/>
      <c r="K7" s="5"/>
      <c r="L7" s="5"/>
      <c r="M7" s="5"/>
      <c r="N7" s="5"/>
    </row>
    <row r="8" spans="1:14" ht="15.75" customHeight="1" x14ac:dyDescent="0.25">
      <c r="A8" s="11"/>
      <c r="B8" s="527" t="s">
        <v>5</v>
      </c>
      <c r="C8" s="5"/>
      <c r="D8" s="5"/>
      <c r="E8" s="5"/>
      <c r="F8" s="5"/>
      <c r="G8" s="5"/>
      <c r="H8" s="5"/>
      <c r="I8" s="5"/>
      <c r="J8" s="5"/>
      <c r="K8" s="5"/>
      <c r="L8" s="5"/>
      <c r="M8" s="5"/>
      <c r="N8" s="5"/>
    </row>
    <row r="9" spans="1:14" ht="15.75" customHeight="1" x14ac:dyDescent="0.25">
      <c r="A9" s="11"/>
      <c r="B9" s="527" t="s">
        <v>6</v>
      </c>
      <c r="C9" s="5"/>
      <c r="D9" s="5"/>
      <c r="E9" s="5"/>
      <c r="F9" s="5"/>
      <c r="G9" s="5"/>
      <c r="H9" s="5"/>
      <c r="I9" s="5"/>
      <c r="J9" s="5"/>
      <c r="K9" s="5"/>
      <c r="L9" s="5"/>
      <c r="M9" s="5"/>
      <c r="N9" s="5"/>
    </row>
    <row r="10" spans="1:14" ht="15.75" customHeight="1" x14ac:dyDescent="0.25">
      <c r="A10" s="11"/>
      <c r="B10" s="527" t="s">
        <v>7</v>
      </c>
      <c r="C10" s="5"/>
      <c r="D10" s="5"/>
      <c r="E10" s="5"/>
      <c r="F10" s="5"/>
      <c r="G10" s="5"/>
      <c r="H10" s="5"/>
      <c r="I10" s="5"/>
      <c r="J10" s="5"/>
      <c r="K10" s="5"/>
      <c r="L10" s="5"/>
      <c r="M10" s="5"/>
      <c r="N10" s="5"/>
    </row>
    <row r="11" spans="1:14" ht="15.75" customHeight="1" x14ac:dyDescent="0.25">
      <c r="A11" s="11"/>
      <c r="B11" s="527" t="s">
        <v>8</v>
      </c>
      <c r="C11" s="5"/>
      <c r="D11" s="5"/>
      <c r="E11" s="5"/>
      <c r="F11" s="5"/>
      <c r="G11" s="5"/>
      <c r="H11" s="5"/>
      <c r="I11" s="5"/>
      <c r="J11" s="5"/>
      <c r="K11" s="5"/>
      <c r="L11" s="5"/>
      <c r="M11" s="5"/>
      <c r="N11" s="5"/>
    </row>
    <row r="12" spans="1:14" ht="15.75" customHeight="1" x14ac:dyDescent="0.25">
      <c r="A12" s="12"/>
      <c r="B12" s="527" t="s">
        <v>9</v>
      </c>
      <c r="C12" s="5"/>
      <c r="D12" s="5"/>
      <c r="E12" s="5"/>
      <c r="F12" s="5"/>
      <c r="G12" s="5"/>
      <c r="H12" s="5"/>
      <c r="I12" s="5"/>
      <c r="J12" s="5"/>
      <c r="K12" s="5"/>
      <c r="L12" s="5"/>
      <c r="M12" s="5"/>
      <c r="N12" s="5"/>
    </row>
    <row r="13" spans="1:14" ht="15.75" customHeight="1" x14ac:dyDescent="0.25">
      <c r="A13" s="11"/>
      <c r="B13" s="527" t="s">
        <v>10</v>
      </c>
      <c r="C13" s="5"/>
      <c r="D13" s="5"/>
      <c r="E13" s="5"/>
      <c r="F13" s="5"/>
      <c r="G13" s="5"/>
      <c r="H13" s="5"/>
      <c r="I13" s="5"/>
      <c r="J13" s="5"/>
      <c r="K13" s="5"/>
      <c r="L13" s="5"/>
      <c r="M13" s="5"/>
      <c r="N13" s="5"/>
    </row>
    <row r="14" spans="1:14" ht="15.75" customHeight="1" x14ac:dyDescent="0.25">
      <c r="A14" s="11"/>
      <c r="B14" s="527" t="s">
        <v>11</v>
      </c>
      <c r="C14" s="5"/>
      <c r="D14" s="5"/>
      <c r="E14" s="5"/>
      <c r="F14" s="5"/>
      <c r="G14" s="5"/>
      <c r="H14" s="5"/>
      <c r="I14" s="5"/>
      <c r="J14" s="5"/>
      <c r="K14" s="5"/>
      <c r="L14" s="5"/>
      <c r="M14" s="5"/>
      <c r="N14" s="5"/>
    </row>
    <row r="15" spans="1:14" ht="15.75" customHeight="1" x14ac:dyDescent="0.25">
      <c r="A15" s="11"/>
      <c r="B15" s="527" t="s">
        <v>12</v>
      </c>
      <c r="C15" s="5"/>
      <c r="D15" s="5"/>
      <c r="E15" s="5"/>
      <c r="F15" s="5"/>
      <c r="G15" s="5"/>
      <c r="H15" s="5"/>
      <c r="I15" s="5"/>
      <c r="J15" s="5"/>
      <c r="K15" s="5"/>
      <c r="L15" s="5"/>
      <c r="M15" s="5"/>
      <c r="N15" s="5"/>
    </row>
    <row r="16" spans="1:14" ht="15.75" customHeight="1" x14ac:dyDescent="0.25">
      <c r="A16" s="11"/>
      <c r="B16" s="527" t="s">
        <v>13</v>
      </c>
      <c r="C16" s="5"/>
      <c r="E16" s="5"/>
      <c r="F16" s="5"/>
      <c r="G16" s="5"/>
      <c r="H16" s="5"/>
      <c r="I16" s="5"/>
      <c r="J16" s="5"/>
      <c r="K16" s="5"/>
      <c r="L16" s="5"/>
      <c r="M16" s="5"/>
      <c r="N16" s="5"/>
    </row>
    <row r="17" spans="1:14" ht="15.75" customHeight="1" x14ac:dyDescent="0.25">
      <c r="A17" s="11"/>
      <c r="B17" s="527" t="s">
        <v>14</v>
      </c>
      <c r="C17" s="5"/>
      <c r="D17" s="65"/>
      <c r="E17" s="5"/>
      <c r="F17" s="5"/>
      <c r="G17" s="5"/>
      <c r="H17" s="5"/>
      <c r="I17" s="5"/>
      <c r="J17" s="5"/>
      <c r="K17" s="5"/>
      <c r="L17" s="5"/>
      <c r="M17" s="5"/>
      <c r="N17" s="5"/>
    </row>
    <row r="18" spans="1:14" ht="15.75" customHeight="1" x14ac:dyDescent="0.25">
      <c r="A18" s="11"/>
      <c r="B18" s="527" t="s">
        <v>15</v>
      </c>
      <c r="C18" s="5"/>
      <c r="D18" s="65"/>
      <c r="E18" s="5"/>
      <c r="F18" s="5"/>
      <c r="G18" s="5"/>
      <c r="H18" s="5"/>
      <c r="I18" s="5"/>
      <c r="J18" s="5"/>
      <c r="K18" s="5"/>
      <c r="L18" s="5"/>
      <c r="M18" s="5"/>
      <c r="N18" s="5"/>
    </row>
    <row r="19" spans="1:14" ht="15.75" customHeight="1" x14ac:dyDescent="0.25">
      <c r="A19" s="11"/>
      <c r="B19" s="527" t="s">
        <v>16</v>
      </c>
      <c r="C19" s="64"/>
      <c r="D19" s="65"/>
      <c r="E19" s="5"/>
      <c r="F19" s="5"/>
      <c r="G19" s="5"/>
      <c r="H19" s="5"/>
      <c r="I19" s="5"/>
      <c r="J19" s="5"/>
      <c r="K19" s="5"/>
      <c r="L19" s="5"/>
      <c r="M19" s="5"/>
      <c r="N19" s="5"/>
    </row>
    <row r="20" spans="1:14" ht="15.75" customHeight="1" x14ac:dyDescent="0.25">
      <c r="A20" s="5"/>
      <c r="B20" s="527" t="s">
        <v>17</v>
      </c>
      <c r="C20" s="5"/>
      <c r="D20" s="65"/>
      <c r="E20" s="5"/>
      <c r="F20" s="5"/>
      <c r="G20" s="5"/>
      <c r="H20" s="5"/>
      <c r="I20" s="5"/>
      <c r="J20" s="5"/>
      <c r="K20" s="5"/>
      <c r="L20" s="5"/>
      <c r="M20" s="5"/>
      <c r="N20" s="5"/>
    </row>
    <row r="21" spans="1:14" ht="15.75" customHeight="1" x14ac:dyDescent="0.25">
      <c r="A21" s="5"/>
      <c r="B21" s="527" t="s">
        <v>18</v>
      </c>
      <c r="C21" s="5"/>
      <c r="D21" s="65"/>
      <c r="E21" s="5"/>
      <c r="F21" s="5"/>
      <c r="G21" s="5"/>
      <c r="H21" s="5"/>
      <c r="I21" s="5"/>
      <c r="J21" s="5"/>
      <c r="K21" s="5"/>
      <c r="L21" s="5"/>
      <c r="M21" s="5"/>
      <c r="N21" s="5"/>
    </row>
    <row r="22" spans="1:14" ht="15.75" customHeight="1" x14ac:dyDescent="0.25">
      <c r="A22" s="5"/>
      <c r="B22" s="527" t="s">
        <v>19</v>
      </c>
      <c r="C22" s="5"/>
      <c r="D22" s="65"/>
      <c r="E22" s="5"/>
      <c r="F22" s="5"/>
      <c r="G22" s="5"/>
      <c r="H22" s="5"/>
      <c r="I22" s="5"/>
      <c r="J22" s="5"/>
      <c r="K22" s="5"/>
      <c r="L22" s="5"/>
      <c r="M22" s="5"/>
      <c r="N22" s="5"/>
    </row>
    <row r="23" spans="1:14" ht="15.75" customHeight="1" x14ac:dyDescent="0.25">
      <c r="A23" s="5"/>
      <c r="B23" s="527" t="s">
        <v>20</v>
      </c>
      <c r="C23" s="5"/>
      <c r="D23" s="65"/>
      <c r="E23" s="5"/>
      <c r="F23" s="5"/>
      <c r="G23" s="5"/>
      <c r="H23" s="5"/>
      <c r="I23" s="5"/>
      <c r="J23" s="5"/>
      <c r="K23" s="5"/>
      <c r="L23" s="5"/>
      <c r="M23" s="5"/>
      <c r="N23" s="5"/>
    </row>
    <row r="24" spans="1:14" ht="15.75" customHeight="1" x14ac:dyDescent="0.25">
      <c r="A24" s="5"/>
      <c r="B24" s="528" t="s">
        <v>21</v>
      </c>
      <c r="C24" s="5"/>
      <c r="D24" s="65"/>
      <c r="E24" s="5"/>
      <c r="F24" s="5"/>
      <c r="G24" s="5"/>
      <c r="H24" s="5"/>
      <c r="I24" s="5"/>
      <c r="J24" s="5"/>
      <c r="K24" s="5"/>
      <c r="L24" s="5"/>
      <c r="M24" s="5"/>
      <c r="N24" s="5"/>
    </row>
    <row r="25" spans="1:14" ht="15.75" thickBot="1" x14ac:dyDescent="0.3">
      <c r="A25" s="5"/>
      <c r="B25" s="475"/>
      <c r="C25" s="5"/>
      <c r="D25" s="66"/>
      <c r="E25" s="5"/>
      <c r="F25" s="5"/>
      <c r="G25" s="5"/>
      <c r="H25" s="5"/>
      <c r="I25" s="5"/>
      <c r="J25" s="5"/>
      <c r="K25" s="5"/>
      <c r="L25" s="5"/>
      <c r="M25" s="5"/>
      <c r="N25" s="5"/>
    </row>
    <row r="26" spans="1:14" x14ac:dyDescent="0.25">
      <c r="A26" s="5"/>
      <c r="B26" s="340"/>
      <c r="C26" s="5"/>
      <c r="D26" s="66"/>
      <c r="E26" s="5"/>
      <c r="F26" s="5"/>
      <c r="G26" s="5"/>
      <c r="H26" s="5"/>
      <c r="I26" s="5"/>
      <c r="J26" s="5"/>
      <c r="K26" s="5"/>
      <c r="L26" s="5"/>
      <c r="M26" s="5"/>
      <c r="N26" s="5"/>
    </row>
    <row r="27" spans="1:14" x14ac:dyDescent="0.25">
      <c r="A27" s="5"/>
      <c r="B27" s="340"/>
      <c r="C27" s="5"/>
      <c r="D27" s="66"/>
      <c r="E27" s="5"/>
      <c r="F27" s="5"/>
      <c r="G27" s="5"/>
      <c r="H27" s="5"/>
      <c r="I27" s="5"/>
      <c r="J27" s="5"/>
      <c r="K27" s="5"/>
      <c r="L27" s="5"/>
      <c r="M27" s="5"/>
      <c r="N27" s="5"/>
    </row>
    <row r="28" spans="1:14" x14ac:dyDescent="0.25">
      <c r="A28" s="5"/>
      <c r="B28" s="340"/>
      <c r="C28" s="5"/>
      <c r="D28" s="5"/>
      <c r="E28" s="5"/>
      <c r="F28" s="5"/>
      <c r="G28" s="5"/>
      <c r="H28" s="5"/>
      <c r="I28" s="5"/>
      <c r="J28" s="5"/>
      <c r="K28" s="5"/>
      <c r="L28" s="5"/>
      <c r="M28" s="5"/>
      <c r="N28" s="5"/>
    </row>
    <row r="29" spans="1:14" x14ac:dyDescent="0.25">
      <c r="A29" s="5"/>
      <c r="B29" s="340"/>
      <c r="C29" s="5"/>
      <c r="D29" s="5"/>
      <c r="E29" s="5"/>
      <c r="F29" s="5"/>
      <c r="G29" s="5"/>
      <c r="H29" s="5"/>
      <c r="I29" s="5"/>
      <c r="J29" s="5"/>
      <c r="K29" s="5"/>
      <c r="L29" s="5"/>
      <c r="M29" s="5"/>
      <c r="N29" s="5"/>
    </row>
    <row r="30" spans="1:14" x14ac:dyDescent="0.25">
      <c r="A30" s="5"/>
      <c r="B30" s="340"/>
      <c r="C30" s="5"/>
      <c r="D30" s="5"/>
      <c r="E30" s="5"/>
      <c r="F30" s="5"/>
      <c r="G30" s="5"/>
      <c r="H30" s="5"/>
      <c r="I30" s="5"/>
      <c r="J30" s="5"/>
      <c r="K30" s="5"/>
      <c r="L30" s="5"/>
      <c r="M30" s="5"/>
      <c r="N30" s="5"/>
    </row>
    <row r="31" spans="1:14" x14ac:dyDescent="0.25">
      <c r="A31" s="5"/>
      <c r="B31" s="340"/>
      <c r="C31" s="5"/>
      <c r="D31" s="5"/>
      <c r="E31" s="5"/>
      <c r="F31" s="5"/>
      <c r="G31" s="5"/>
      <c r="H31" s="5"/>
      <c r="I31" s="5"/>
      <c r="J31" s="5"/>
      <c r="K31" s="5"/>
      <c r="L31" s="5"/>
      <c r="M31" s="5"/>
      <c r="N31" s="5"/>
    </row>
    <row r="32" spans="1:14" x14ac:dyDescent="0.25">
      <c r="A32" s="5"/>
      <c r="B32" s="340"/>
      <c r="C32" s="5"/>
      <c r="D32" s="5"/>
      <c r="E32" s="5"/>
      <c r="F32" s="5"/>
      <c r="G32" s="5"/>
      <c r="H32" s="5"/>
      <c r="I32" s="5"/>
      <c r="J32" s="5"/>
      <c r="K32" s="5"/>
      <c r="L32" s="5"/>
      <c r="M32" s="5"/>
      <c r="N32" s="5"/>
    </row>
    <row r="33" spans="1:14" x14ac:dyDescent="0.25">
      <c r="A33" s="5"/>
      <c r="C33" s="5"/>
      <c r="D33" s="5"/>
      <c r="E33" s="5"/>
      <c r="F33" s="5"/>
      <c r="G33" s="5"/>
      <c r="H33" s="5"/>
      <c r="I33" s="5"/>
      <c r="J33" s="5"/>
      <c r="K33" s="5"/>
      <c r="L33" s="5"/>
      <c r="M33" s="5"/>
      <c r="N33" s="5"/>
    </row>
    <row r="34" spans="1:14" x14ac:dyDescent="0.25">
      <c r="A34" s="5"/>
      <c r="C34" s="5"/>
      <c r="D34" s="5"/>
      <c r="E34" s="5"/>
      <c r="F34" s="5"/>
      <c r="G34" s="5"/>
      <c r="H34" s="5"/>
      <c r="I34" s="5"/>
      <c r="J34" s="5"/>
      <c r="K34" s="5"/>
      <c r="L34" s="5"/>
      <c r="M34" s="5"/>
      <c r="N34" s="5"/>
    </row>
  </sheetData>
  <phoneticPr fontId="37" type="noConversion"/>
  <hyperlinks>
    <hyperlink ref="B3" location="'1.1'!A1" display="Table 1.1: GDP Expenditure Components (Chain-Linked Volumes)" xr:uid="{00000000-0004-0000-0000-000000000000}"/>
    <hyperlink ref="B4" location="'1.2'!A1" display="Table 1.2: GDP Expenditure Components (Current Prices)" xr:uid="{00000000-0004-0000-0000-000001000000}"/>
    <hyperlink ref="B5" location="'1.3'!A1" display="Table 1.3: GDP Income Components" xr:uid="{00000000-0004-0000-0000-000002000000}"/>
    <hyperlink ref="B8" location="'1.6'!A1" display="Table 1.6: Labour Market" xr:uid="{00000000-0004-0000-0000-000003000000}"/>
    <hyperlink ref="B9" location="'1.7'!A1" display="Table 1.7: Inflation" xr:uid="{00000000-0004-0000-0000-000004000000}"/>
    <hyperlink ref="B10" location="'1.8'!A1" display="Table 1.8: Balance of Payments" xr:uid="{00000000-0004-0000-0000-000005000000}"/>
    <hyperlink ref="B11" location="'1.9'!A1" display="Table 1.9: Market-derived assumptions" xr:uid="{00000000-0004-0000-0000-000006000000}"/>
    <hyperlink ref="B12" location="'1.10'!A1" display="Table 1.10: Financial Balances by Sector" xr:uid="{00000000-0004-0000-0000-000007000000}"/>
    <hyperlink ref="B13" location="'1.11'!A1" display="Table 1.11: Balance Sheets and Lending" xr:uid="{00000000-0004-0000-0000-000008000000}"/>
    <hyperlink ref="B15" location="'1.12'!A1" display="Table 1.12: Household Disposable Income" xr:uid="{00000000-0004-0000-0000-00000A000000}"/>
    <hyperlink ref="B6" location="'1.4'!A1" display="Table 1.4: Nominal GDP (non-seasonally adjusted)" xr:uid="{00000000-0004-0000-0000-00000C000000}"/>
    <hyperlink ref="B7" location="'1.5'!A1" display="Table 1.5: Per capita (age +16)" xr:uid="{00000000-0004-0000-0000-00000D000000}"/>
    <hyperlink ref="B16" location="'1.13'!A1" display="Table 1.13: National Minimum Wage and National Living Wage" xr:uid="{00000000-0004-0000-0000-00000E000000}"/>
    <hyperlink ref="B17" location="'1.14'!A1" display="Table 1.14: OBR central estimate of the output gap" xr:uid="{00000000-0004-0000-0000-00000F000000}"/>
    <hyperlink ref="B18" location="'1.15'!A1" display="Table 1.15: Potential output forecast" xr:uid="{00000000-0004-0000-0000-000010000000}"/>
    <hyperlink ref="B20" location="'1.17'!A1" display="Table 1.16: Household debt servicing costs" xr:uid="{00000000-0004-0000-0000-000011000000}"/>
    <hyperlink ref="B19" location="'1.16'!A1" display="Table 1.16: Housing market" xr:uid="{00000000-0004-0000-0000-000015000000}"/>
    <hyperlink ref="B14" location="'1.11b'!A1" display="Table 1.11b: Household balance sheet - unsecured household debt" xr:uid="{A5F35F40-13C5-4D69-AFA5-59262A3477BE}"/>
    <hyperlink ref="B21" location="'1.18'!A1" display="Table 1.18: Eligible rent growth assumptions" xr:uid="{8038FD10-5374-4925-8715-0E0A986C372E}"/>
    <hyperlink ref="B23" location="'1.19b'!A1" display="Table 1.19b: CPI category weights" xr:uid="{DA68C604-7C42-42D3-B7F6-CCE3443AE601}"/>
    <hyperlink ref="B22" location="'1.19'!A1" display="Table 1.19: CPI category inflation" xr:uid="{2E46FC8C-519B-4DF3-B226-B761EC8141F3}"/>
    <hyperlink ref="B24" location="'1.20'!A1" display="Table 1.20 Electricity price forecast " xr:uid="{1F5066F8-C4CD-4561-9693-F70BCDBAB0F0}"/>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0118-33B0-42BE-867B-14CF6998C647}">
  <sheetPr codeName="Sheet21">
    <tabColor theme="5"/>
  </sheetPr>
  <dimension ref="A1:K316"/>
  <sheetViews>
    <sheetView zoomScaleNormal="100" zoomScaleSheetLayoutView="100" workbookViewId="0"/>
  </sheetViews>
  <sheetFormatPr defaultColWidth="11.44140625" defaultRowHeight="15" x14ac:dyDescent="0.25"/>
  <cols>
    <col min="1" max="1" width="9.21875" style="17" customWidth="1"/>
    <col min="2" max="2" width="13.109375" style="17" customWidth="1"/>
    <col min="3" max="3" width="16.21875" style="17" customWidth="1"/>
    <col min="4" max="4" width="17.77734375" style="17" customWidth="1"/>
    <col min="5" max="5" width="21.21875" style="17" customWidth="1"/>
    <col min="6" max="6" width="21.44140625" style="17" customWidth="1"/>
    <col min="7" max="7" width="21.77734375" style="17" customWidth="1"/>
    <col min="8" max="16384" width="11.44140625" style="17"/>
  </cols>
  <sheetData>
    <row r="1" spans="1:11" ht="35.1" customHeight="1" thickBot="1" x14ac:dyDescent="0.3">
      <c r="A1" s="9" t="s">
        <v>22</v>
      </c>
      <c r="B1" s="277"/>
      <c r="C1" s="525"/>
      <c r="D1" s="277"/>
      <c r="E1" s="277"/>
      <c r="F1" s="277"/>
      <c r="G1" s="277"/>
    </row>
    <row r="2" spans="1:11" ht="19.5" customHeight="1" thickBot="1" x14ac:dyDescent="0.3">
      <c r="B2" s="554" t="s">
        <v>635</v>
      </c>
      <c r="C2" s="637"/>
      <c r="D2" s="637"/>
      <c r="E2" s="637"/>
      <c r="F2" s="637"/>
      <c r="G2" s="555"/>
    </row>
    <row r="3" spans="1:11" ht="19.5" customHeight="1" x14ac:dyDescent="0.25">
      <c r="B3" s="341"/>
      <c r="C3" s="675" t="s">
        <v>273</v>
      </c>
      <c r="D3" s="675"/>
      <c r="E3" s="675"/>
      <c r="F3" s="675"/>
      <c r="G3" s="676"/>
    </row>
    <row r="4" spans="1:11" ht="33" customHeight="1" x14ac:dyDescent="0.25">
      <c r="B4" s="342"/>
      <c r="C4" s="40" t="s">
        <v>636</v>
      </c>
      <c r="D4" s="40" t="s">
        <v>637</v>
      </c>
      <c r="E4" s="40" t="s">
        <v>638</v>
      </c>
      <c r="F4" s="40" t="s">
        <v>639</v>
      </c>
      <c r="G4" s="343" t="s">
        <v>640</v>
      </c>
    </row>
    <row r="5" spans="1:11" x14ac:dyDescent="0.25">
      <c r="B5" s="51" t="s">
        <v>87</v>
      </c>
      <c r="C5" s="124">
        <v>2.0214771414961641</v>
      </c>
      <c r="D5" s="124">
        <v>1.4659200702132003</v>
      </c>
      <c r="E5" s="124">
        <v>1.4393743199698772</v>
      </c>
      <c r="F5" s="124">
        <v>1.2593332637434784</v>
      </c>
      <c r="G5" s="453">
        <v>2.4178554434079125</v>
      </c>
      <c r="I5" s="481"/>
      <c r="J5" s="481"/>
      <c r="K5" s="481"/>
    </row>
    <row r="6" spans="1:11" x14ac:dyDescent="0.25">
      <c r="B6" s="51" t="s">
        <v>88</v>
      </c>
      <c r="C6" s="124">
        <v>1.7955231432130292</v>
      </c>
      <c r="D6" s="124">
        <v>10.208316391482676</v>
      </c>
      <c r="E6" s="124">
        <v>2.6550461583910501</v>
      </c>
      <c r="F6" s="124">
        <v>0.84902124288503966</v>
      </c>
      <c r="G6" s="453">
        <v>2.6282252765114311</v>
      </c>
    </row>
    <row r="7" spans="1:11" x14ac:dyDescent="0.25">
      <c r="B7" s="51" t="s">
        <v>89</v>
      </c>
      <c r="C7" s="124">
        <v>2.1017070543493555</v>
      </c>
      <c r="D7" s="124">
        <v>6.3748500565221189</v>
      </c>
      <c r="E7" s="124">
        <v>-0.64035619846716241</v>
      </c>
      <c r="F7" s="124">
        <v>1.1251883482652714</v>
      </c>
      <c r="G7" s="453">
        <v>2.2752049217431347</v>
      </c>
    </row>
    <row r="8" spans="1:11" x14ac:dyDescent="0.25">
      <c r="B8" s="51" t="s">
        <v>90</v>
      </c>
      <c r="C8" s="124">
        <v>1.8531285141663245</v>
      </c>
      <c r="D8" s="124">
        <v>-1.7742005404863925</v>
      </c>
      <c r="E8" s="124">
        <v>-1.7482827411593793</v>
      </c>
      <c r="F8" s="124">
        <v>0.97742261186268831</v>
      </c>
      <c r="G8" s="453">
        <v>2.1234753503575954</v>
      </c>
    </row>
    <row r="9" spans="1:11" x14ac:dyDescent="0.25">
      <c r="B9" s="51" t="s">
        <v>91</v>
      </c>
      <c r="C9" s="124">
        <v>1.263995624237646</v>
      </c>
      <c r="D9" s="124">
        <v>4.8468339566760665</v>
      </c>
      <c r="E9" s="124">
        <v>1.4649606343720034</v>
      </c>
      <c r="F9" s="124">
        <v>1.0504336198800868</v>
      </c>
      <c r="G9" s="453">
        <v>2.1635750184683555</v>
      </c>
    </row>
    <row r="10" spans="1:11" x14ac:dyDescent="0.25">
      <c r="B10" s="51" t="s">
        <v>92</v>
      </c>
      <c r="C10" s="124">
        <v>1.6888540278031439</v>
      </c>
      <c r="D10" s="124">
        <v>-6.189540060715581</v>
      </c>
      <c r="E10" s="124">
        <v>-15.303965395968033</v>
      </c>
      <c r="F10" s="124">
        <v>0.99744959009342438</v>
      </c>
      <c r="G10" s="453">
        <v>1.6744609887743289</v>
      </c>
    </row>
    <row r="11" spans="1:11" x14ac:dyDescent="0.25">
      <c r="B11" s="51" t="s">
        <v>93</v>
      </c>
      <c r="C11" s="124">
        <v>0.86752929173870008</v>
      </c>
      <c r="D11" s="124">
        <v>-6.2414053690502014</v>
      </c>
      <c r="E11" s="124">
        <v>-11.537858999232608</v>
      </c>
      <c r="F11" s="124">
        <v>1.503567161832442</v>
      </c>
      <c r="G11" s="453">
        <v>1.0338966094097568</v>
      </c>
    </row>
    <row r="12" spans="1:11" x14ac:dyDescent="0.25">
      <c r="B12" s="51" t="s">
        <v>94</v>
      </c>
      <c r="C12" s="124">
        <v>0.3491371652951436</v>
      </c>
      <c r="D12" s="124">
        <v>-8.3639481435351932</v>
      </c>
      <c r="E12" s="124">
        <v>-9.8797257529124831</v>
      </c>
      <c r="F12" s="124">
        <v>1.1508457669899164</v>
      </c>
      <c r="G12" s="453">
        <v>1.5019713284125658</v>
      </c>
    </row>
    <row r="13" spans="1:11" x14ac:dyDescent="0.25">
      <c r="B13" s="51" t="s">
        <v>95</v>
      </c>
      <c r="C13" s="124">
        <v>0.1101687904882187</v>
      </c>
      <c r="D13" s="124">
        <v>-8.3643672680033134</v>
      </c>
      <c r="E13" s="124">
        <v>-2.7039404121753097</v>
      </c>
      <c r="F13" s="124">
        <v>0.46357518359596561</v>
      </c>
      <c r="G13" s="453">
        <v>1.883960294356668</v>
      </c>
    </row>
    <row r="14" spans="1:11" x14ac:dyDescent="0.25">
      <c r="B14" s="51" t="s">
        <v>96</v>
      </c>
      <c r="C14" s="124">
        <v>1.8700858426279332E-2</v>
      </c>
      <c r="D14" s="124">
        <v>1.5022501417804257</v>
      </c>
      <c r="E14" s="124">
        <v>17.418165087935922</v>
      </c>
      <c r="F14" s="124">
        <v>1.7446102140844966</v>
      </c>
      <c r="G14" s="453">
        <v>2.0224942890246789</v>
      </c>
    </row>
    <row r="15" spans="1:11" x14ac:dyDescent="0.25">
      <c r="B15" s="51" t="s">
        <v>97</v>
      </c>
      <c r="C15" s="124">
        <v>0.71832198034664785</v>
      </c>
      <c r="D15" s="124">
        <v>1.6504218764832768</v>
      </c>
      <c r="E15" s="124">
        <v>17.888734782854687</v>
      </c>
      <c r="F15" s="124">
        <v>2.4749143691751518</v>
      </c>
      <c r="G15" s="453">
        <v>2.8687183224347379</v>
      </c>
    </row>
    <row r="16" spans="1:11" x14ac:dyDescent="0.25">
      <c r="B16" s="51" t="s">
        <v>98</v>
      </c>
      <c r="C16" s="124">
        <v>2.8759177953038506</v>
      </c>
      <c r="D16" s="124">
        <v>22.385758916133636</v>
      </c>
      <c r="E16" s="124">
        <v>26.090298440061165</v>
      </c>
      <c r="F16" s="124">
        <v>4.0110615104102409</v>
      </c>
      <c r="G16" s="453">
        <v>3.8126263979903374</v>
      </c>
    </row>
    <row r="17" spans="2:7" x14ac:dyDescent="0.25">
      <c r="B17" s="51" t="s">
        <v>99</v>
      </c>
      <c r="C17" s="124">
        <v>4.7061148257465213</v>
      </c>
      <c r="D17" s="124">
        <v>22.718462654655958</v>
      </c>
      <c r="E17" s="124">
        <v>26.408800789805852</v>
      </c>
      <c r="F17" s="124">
        <v>6.4120823977495078</v>
      </c>
      <c r="G17" s="453">
        <v>3.824124816338581</v>
      </c>
    </row>
    <row r="18" spans="2:7" x14ac:dyDescent="0.25">
      <c r="B18" s="51" t="s">
        <v>100</v>
      </c>
      <c r="C18" s="124">
        <v>7.2206694395236859</v>
      </c>
      <c r="D18" s="124">
        <v>70.023900538131429</v>
      </c>
      <c r="E18" s="124">
        <v>37.389063756807658</v>
      </c>
      <c r="F18" s="124">
        <v>6.7476753013803181</v>
      </c>
      <c r="G18" s="453">
        <v>5.2566343806959903</v>
      </c>
    </row>
    <row r="19" spans="2:7" x14ac:dyDescent="0.25">
      <c r="B19" s="51" t="s">
        <v>101</v>
      </c>
      <c r="C19" s="124">
        <v>10.962539191863229</v>
      </c>
      <c r="D19" s="124">
        <v>70.38840331187221</v>
      </c>
      <c r="E19" s="124">
        <v>35.849119116694148</v>
      </c>
      <c r="F19" s="124">
        <v>6.5803118827376883</v>
      </c>
      <c r="G19" s="453">
        <v>6.0871395770678127</v>
      </c>
    </row>
    <row r="20" spans="2:7" x14ac:dyDescent="0.25">
      <c r="B20" s="51" t="s">
        <v>102</v>
      </c>
      <c r="C20" s="124">
        <v>12.791835675534591</v>
      </c>
      <c r="D20" s="124">
        <v>90.39879257089207</v>
      </c>
      <c r="E20" s="124">
        <v>18.50303538597182</v>
      </c>
      <c r="F20" s="124">
        <v>6.6363269326767504</v>
      </c>
      <c r="G20" s="453">
        <v>7.0188887826792445</v>
      </c>
    </row>
    <row r="21" spans="2:7" x14ac:dyDescent="0.25">
      <c r="B21" s="6" t="s">
        <v>103</v>
      </c>
      <c r="C21" s="124">
        <v>14.112583415506808</v>
      </c>
      <c r="D21" s="124">
        <v>91.363224538685088</v>
      </c>
      <c r="E21" s="124">
        <v>2.7730582947484761</v>
      </c>
      <c r="F21" s="124">
        <v>6.1742300239517656</v>
      </c>
      <c r="G21" s="453">
        <v>6.786690275046503</v>
      </c>
    </row>
    <row r="22" spans="2:7" x14ac:dyDescent="0.25">
      <c r="B22" s="6" t="s">
        <v>104</v>
      </c>
      <c r="C22" s="124">
        <v>15.460541420643992</v>
      </c>
      <c r="D22" s="124">
        <v>25.09128354540977</v>
      </c>
      <c r="E22" s="124">
        <v>-15.14493070408135</v>
      </c>
      <c r="F22" s="124">
        <v>7.4537720235515526</v>
      </c>
      <c r="G22" s="453">
        <v>7.2349979852663671</v>
      </c>
    </row>
    <row r="23" spans="2:7" x14ac:dyDescent="0.25">
      <c r="B23" s="6" t="s">
        <v>105</v>
      </c>
      <c r="C23" s="124">
        <v>12.528536185486905</v>
      </c>
      <c r="D23" s="124">
        <v>5.1407930756069753</v>
      </c>
      <c r="E23" s="124">
        <v>-16.895557653577818</v>
      </c>
      <c r="F23" s="124">
        <v>6.5027937739758679</v>
      </c>
      <c r="G23" s="453">
        <v>7.1870558297291165</v>
      </c>
    </row>
    <row r="24" spans="2:7" x14ac:dyDescent="0.25">
      <c r="B24" s="6" t="s">
        <v>106</v>
      </c>
      <c r="C24" s="124">
        <v>9.7068807967235937</v>
      </c>
      <c r="D24" s="124">
        <v>-22.067241821508521</v>
      </c>
      <c r="E24" s="124">
        <v>-9.707065440970819</v>
      </c>
      <c r="F24" s="124">
        <v>4.7828654347526367</v>
      </c>
      <c r="G24" s="453">
        <v>5.9861490094480052</v>
      </c>
    </row>
    <row r="25" spans="2:7" x14ac:dyDescent="0.25">
      <c r="B25" s="6" t="s">
        <v>107</v>
      </c>
      <c r="C25" s="124">
        <v>6.9818751702566795</v>
      </c>
      <c r="D25" s="124">
        <v>-18.666407606102066</v>
      </c>
      <c r="E25" s="124">
        <v>-6.5560967666422165</v>
      </c>
      <c r="F25" s="124">
        <v>3.4326868381351572</v>
      </c>
      <c r="G25" s="453">
        <v>5.9894504822930683</v>
      </c>
    </row>
    <row r="26" spans="2:7" x14ac:dyDescent="0.25">
      <c r="B26" s="6" t="s">
        <v>108</v>
      </c>
      <c r="C26" s="460">
        <v>3.4520261096887994</v>
      </c>
      <c r="D26" s="460">
        <v>-28.06188822241219</v>
      </c>
      <c r="E26" s="460">
        <v>1.5087431055149869</v>
      </c>
      <c r="F26" s="460">
        <v>1.5033477953350083</v>
      </c>
      <c r="G26" s="461">
        <v>5.8827970928361006</v>
      </c>
    </row>
    <row r="27" spans="2:7" x14ac:dyDescent="0.25">
      <c r="B27" s="6" t="s">
        <v>109</v>
      </c>
      <c r="C27" s="460">
        <v>2.6318266234162557</v>
      </c>
      <c r="D27" s="460">
        <v>-20.834742758287206</v>
      </c>
      <c r="E27" s="460">
        <v>-4.4415768136270906</v>
      </c>
      <c r="F27" s="460">
        <v>1.3361999696033244</v>
      </c>
      <c r="G27" s="461">
        <v>5.4723358828207891</v>
      </c>
    </row>
    <row r="28" spans="2:7" x14ac:dyDescent="0.25">
      <c r="B28" s="6" t="s">
        <v>110</v>
      </c>
      <c r="C28" s="460">
        <v>2.8854325414247484</v>
      </c>
      <c r="D28" s="460">
        <v>-6.612045102723096</v>
      </c>
      <c r="E28" s="460">
        <v>-10.189426731791052</v>
      </c>
      <c r="F28" s="460">
        <v>1.5178822964626804</v>
      </c>
      <c r="G28" s="461">
        <v>4.9488476901517364</v>
      </c>
    </row>
    <row r="29" spans="2:7" x14ac:dyDescent="0.25">
      <c r="B29" s="6" t="s">
        <v>111</v>
      </c>
      <c r="C29" s="460">
        <v>3.7460105087074203</v>
      </c>
      <c r="D29" s="460">
        <v>-9.8262450373919457</v>
      </c>
      <c r="E29" s="460">
        <v>-3.3293762888625622</v>
      </c>
      <c r="F29" s="460">
        <v>1.7045248124506251</v>
      </c>
      <c r="G29" s="461">
        <v>5.098697382008166</v>
      </c>
    </row>
    <row r="30" spans="2:7" x14ac:dyDescent="0.25">
      <c r="B30" s="6" t="s">
        <v>112</v>
      </c>
      <c r="C30" s="460">
        <v>4.5810587749242071</v>
      </c>
      <c r="D30" s="460">
        <v>9.1068592043429533</v>
      </c>
      <c r="E30" s="460">
        <v>-10.022741551874493</v>
      </c>
      <c r="F30" s="460">
        <v>1.6714680304326102</v>
      </c>
      <c r="G30" s="461">
        <v>5.2833378160806577</v>
      </c>
    </row>
    <row r="31" spans="2:7" x14ac:dyDescent="0.25">
      <c r="B31" s="6" t="s">
        <v>113</v>
      </c>
      <c r="C31" s="460">
        <v>5.1275630012558526</v>
      </c>
      <c r="D31" s="460">
        <v>10.179081849588488</v>
      </c>
      <c r="E31" s="460">
        <v>-4.457236212695137</v>
      </c>
      <c r="F31" s="460">
        <v>1.6508971071119038</v>
      </c>
      <c r="G31" s="461">
        <v>5.1683012671830175</v>
      </c>
    </row>
    <row r="32" spans="2:7" x14ac:dyDescent="0.25">
      <c r="B32" s="6" t="s">
        <v>114</v>
      </c>
      <c r="C32" s="460">
        <v>4.7042231473182206</v>
      </c>
      <c r="D32" s="460">
        <v>3.0242045188884736</v>
      </c>
      <c r="E32" s="460">
        <v>1.1921851543538864</v>
      </c>
      <c r="F32" s="460">
        <v>1.2878667805640731</v>
      </c>
      <c r="G32" s="461">
        <v>4.9491051387277496</v>
      </c>
    </row>
    <row r="33" spans="2:7" x14ac:dyDescent="0.25">
      <c r="B33" s="6" t="s">
        <v>115</v>
      </c>
      <c r="C33" s="460">
        <v>3.6553824829361758</v>
      </c>
      <c r="D33" s="460">
        <v>2.4818761310089421</v>
      </c>
      <c r="E33" s="460">
        <v>0.44201441145919063</v>
      </c>
      <c r="F33" s="460">
        <v>1.154921292523281</v>
      </c>
      <c r="G33" s="461">
        <v>4.8453422732054552</v>
      </c>
    </row>
    <row r="34" spans="2:7" x14ac:dyDescent="0.25">
      <c r="B34" s="6" t="s">
        <v>116</v>
      </c>
      <c r="C34" s="460">
        <v>2.4031540796607409</v>
      </c>
      <c r="D34" s="460">
        <v>-10.865372964459619</v>
      </c>
      <c r="E34" s="460">
        <v>29.151429395705296</v>
      </c>
      <c r="F34" s="460">
        <v>0.96971759402182389</v>
      </c>
      <c r="G34" s="461">
        <v>3.7737559512555086</v>
      </c>
    </row>
    <row r="35" spans="2:7" x14ac:dyDescent="0.25">
      <c r="B35" s="6" t="s">
        <v>117</v>
      </c>
      <c r="C35" s="460">
        <v>1.8261541837312434</v>
      </c>
      <c r="D35" s="460">
        <v>3.7143073599523513</v>
      </c>
      <c r="E35" s="460">
        <v>26.01081905588012</v>
      </c>
      <c r="F35" s="460">
        <v>0.99367081663517265</v>
      </c>
      <c r="G35" s="461">
        <v>3.5819664624052061</v>
      </c>
    </row>
    <row r="36" spans="2:7" x14ac:dyDescent="0.25">
      <c r="B36" s="6" t="s">
        <v>118</v>
      </c>
      <c r="C36" s="460">
        <v>3.4328312755606438</v>
      </c>
      <c r="D36" s="460">
        <v>4.5313276130811708</v>
      </c>
      <c r="E36" s="460">
        <v>29.964697382340709</v>
      </c>
      <c r="F36" s="460">
        <v>1.1993701950508973</v>
      </c>
      <c r="G36" s="461">
        <v>3.7136732359676516</v>
      </c>
    </row>
    <row r="37" spans="2:7" x14ac:dyDescent="0.25">
      <c r="B37" s="344" t="s">
        <v>119</v>
      </c>
      <c r="C37" s="460">
        <v>4.4163630698400125</v>
      </c>
      <c r="D37" s="460">
        <v>11.324072380645788</v>
      </c>
      <c r="E37" s="460">
        <v>23.949092324641196</v>
      </c>
      <c r="F37" s="460">
        <v>1.5552438193474405</v>
      </c>
      <c r="G37" s="461">
        <v>3.5235144163416221</v>
      </c>
    </row>
    <row r="38" spans="2:7" x14ac:dyDescent="0.25">
      <c r="B38" s="344" t="s">
        <v>120</v>
      </c>
      <c r="C38" s="460">
        <v>4.9050343503698635</v>
      </c>
      <c r="D38" s="460">
        <v>19.003781410403352</v>
      </c>
      <c r="E38" s="460">
        <v>0.20374755136600697</v>
      </c>
      <c r="F38" s="460">
        <v>1.7414150882821833</v>
      </c>
      <c r="G38" s="461">
        <v>3.9100576413109378</v>
      </c>
    </row>
    <row r="39" spans="2:7" x14ac:dyDescent="0.25">
      <c r="B39" s="344" t="s">
        <v>121</v>
      </c>
      <c r="C39" s="460">
        <v>5.4989173374903499</v>
      </c>
      <c r="D39" s="460">
        <v>3.7958751701268278</v>
      </c>
      <c r="E39" s="460">
        <v>2.8540142469290375</v>
      </c>
      <c r="F39" s="460">
        <v>1.9559815933620994</v>
      </c>
      <c r="G39" s="461">
        <v>3.7962188975408706</v>
      </c>
    </row>
    <row r="40" spans="2:7" x14ac:dyDescent="0.25">
      <c r="B40" s="344" t="s">
        <v>122</v>
      </c>
      <c r="C40" s="460">
        <v>3.9491205341902758</v>
      </c>
      <c r="D40" s="460">
        <v>-1.1436720106580811</v>
      </c>
      <c r="E40" s="460">
        <v>-2.5380470923777487</v>
      </c>
      <c r="F40" s="460">
        <v>2.2996955733408209</v>
      </c>
      <c r="G40" s="461">
        <v>3.609377940675973</v>
      </c>
    </row>
    <row r="41" spans="2:7" x14ac:dyDescent="0.25">
      <c r="B41" s="344" t="s">
        <v>123</v>
      </c>
      <c r="C41" s="460">
        <v>3.4917698369450356</v>
      </c>
      <c r="D41" s="460">
        <v>-10.570531384219295</v>
      </c>
      <c r="E41" s="460">
        <v>-0.45237216840576799</v>
      </c>
      <c r="F41" s="460">
        <v>1.8155069265775037</v>
      </c>
      <c r="G41" s="461">
        <v>3.5677812707704204</v>
      </c>
    </row>
    <row r="42" spans="2:7" x14ac:dyDescent="0.25">
      <c r="B42" s="344" t="s">
        <v>124</v>
      </c>
      <c r="C42" s="460">
        <v>2.8250864559773214</v>
      </c>
      <c r="D42" s="460">
        <v>-11.269720707540909</v>
      </c>
      <c r="E42" s="460">
        <v>0.83587142289860417</v>
      </c>
      <c r="F42" s="460">
        <v>1.3871500115070878</v>
      </c>
      <c r="G42" s="461">
        <v>3.585221609712308</v>
      </c>
    </row>
    <row r="43" spans="2:7" x14ac:dyDescent="0.25">
      <c r="B43" s="344" t="s">
        <v>125</v>
      </c>
      <c r="C43" s="460">
        <v>2.4356474414436002</v>
      </c>
      <c r="D43" s="460">
        <v>-7.0887958273834766</v>
      </c>
      <c r="E43" s="460">
        <v>-0.97974695361587871</v>
      </c>
      <c r="F43" s="460">
        <v>0.94391281414125672</v>
      </c>
      <c r="G43" s="461">
        <v>3.5300465104871837</v>
      </c>
    </row>
    <row r="44" spans="2:7" x14ac:dyDescent="0.25">
      <c r="B44" s="344" t="s">
        <v>126</v>
      </c>
      <c r="C44" s="460">
        <v>2.1992743472678766</v>
      </c>
      <c r="D44" s="460">
        <v>-5.3905989011265536</v>
      </c>
      <c r="E44" s="460">
        <v>-0.58301668446085753</v>
      </c>
      <c r="F44" s="460">
        <v>0.72409708066873968</v>
      </c>
      <c r="G44" s="461">
        <v>3.4730082984399946</v>
      </c>
    </row>
    <row r="45" spans="2:7" x14ac:dyDescent="0.25">
      <c r="B45" s="344" t="s">
        <v>127</v>
      </c>
      <c r="C45" s="460">
        <v>2.1389082898919831</v>
      </c>
      <c r="D45" s="460">
        <v>-2.9832998670520139</v>
      </c>
      <c r="E45" s="460">
        <v>-0.2893439361473682</v>
      </c>
      <c r="F45" s="460">
        <v>0.85553300217016126</v>
      </c>
      <c r="G45" s="461">
        <v>3.431753908578572</v>
      </c>
    </row>
    <row r="46" spans="2:7" x14ac:dyDescent="0.25">
      <c r="B46" s="344" t="s">
        <v>128</v>
      </c>
      <c r="C46" s="460">
        <v>2.0586386153215397</v>
      </c>
      <c r="D46" s="460">
        <v>3.0000248949644481</v>
      </c>
      <c r="E46" s="460">
        <v>3.8428862060402302E-2</v>
      </c>
      <c r="F46" s="460">
        <v>0.70719175527294009</v>
      </c>
      <c r="G46" s="461">
        <v>3.379618804709783</v>
      </c>
    </row>
    <row r="47" spans="2:7" x14ac:dyDescent="0.25">
      <c r="B47" s="344" t="s">
        <v>129</v>
      </c>
      <c r="C47" s="460">
        <v>2.1157557326603627</v>
      </c>
      <c r="D47" s="460">
        <v>3.9129267145608937</v>
      </c>
      <c r="E47" s="460">
        <v>0.22740555848106414</v>
      </c>
      <c r="F47" s="460">
        <v>0.68699576651107819</v>
      </c>
      <c r="G47" s="461">
        <v>3.3171597261422159</v>
      </c>
    </row>
    <row r="48" spans="2:7" x14ac:dyDescent="0.25">
      <c r="B48" s="344" t="s">
        <v>130</v>
      </c>
      <c r="C48" s="460">
        <v>2.0952500159037157</v>
      </c>
      <c r="D48" s="460">
        <v>4.3441691564035878</v>
      </c>
      <c r="E48" s="460">
        <v>0.36089138605106541</v>
      </c>
      <c r="F48" s="460">
        <v>0.76486054390347835</v>
      </c>
      <c r="G48" s="461">
        <v>3.2036221084292382</v>
      </c>
    </row>
    <row r="49" spans="2:7" x14ac:dyDescent="0.25">
      <c r="B49" s="344" t="s">
        <v>131</v>
      </c>
      <c r="C49" s="460">
        <v>2.0855112892987693</v>
      </c>
      <c r="D49" s="460">
        <v>4.9671427820216829</v>
      </c>
      <c r="E49" s="460">
        <v>0.48173622973444186</v>
      </c>
      <c r="F49" s="460">
        <v>0.76049566590281614</v>
      </c>
      <c r="G49" s="461">
        <v>3.1213677891034575</v>
      </c>
    </row>
    <row r="50" spans="2:7" x14ac:dyDescent="0.25">
      <c r="B50" s="344" t="s">
        <v>132</v>
      </c>
      <c r="C50" s="460">
        <v>2.0713393854264739</v>
      </c>
      <c r="D50" s="460">
        <v>1.5595145747896222</v>
      </c>
      <c r="E50" s="460">
        <v>0.66043776984907598</v>
      </c>
      <c r="F50" s="460">
        <v>0.73495771981724189</v>
      </c>
      <c r="G50" s="461">
        <v>3.1094847424464334</v>
      </c>
    </row>
    <row r="51" spans="2:7" x14ac:dyDescent="0.25">
      <c r="B51" s="344" t="s">
        <v>133</v>
      </c>
      <c r="C51" s="460">
        <v>2.1015608886286063</v>
      </c>
      <c r="D51" s="460">
        <v>1.5609405795016018</v>
      </c>
      <c r="E51" s="460">
        <v>1.1328523914799771</v>
      </c>
      <c r="F51" s="460">
        <v>0.65539524653752679</v>
      </c>
      <c r="G51" s="461">
        <v>3.0677919791161967</v>
      </c>
    </row>
    <row r="52" spans="2:7" x14ac:dyDescent="0.25">
      <c r="B52" s="344" t="s">
        <v>134</v>
      </c>
      <c r="C52" s="460">
        <v>2.1199777187673519</v>
      </c>
      <c r="D52" s="460">
        <v>1.6184046895854953</v>
      </c>
      <c r="E52" s="460">
        <v>1.6011065990256812</v>
      </c>
      <c r="F52" s="460">
        <v>0.63674074540596148</v>
      </c>
      <c r="G52" s="461">
        <v>3.03308843437331</v>
      </c>
    </row>
    <row r="53" spans="2:7" x14ac:dyDescent="0.25">
      <c r="B53" s="344" t="s">
        <v>135</v>
      </c>
      <c r="C53" s="460">
        <v>2.1797168030114777</v>
      </c>
      <c r="D53" s="460">
        <v>1.7247015764282558</v>
      </c>
      <c r="E53" s="460">
        <v>2.0370669243385597</v>
      </c>
      <c r="F53" s="460">
        <v>0.62614058455385813</v>
      </c>
      <c r="G53" s="461">
        <v>3.0704234170648714</v>
      </c>
    </row>
    <row r="54" spans="2:7" x14ac:dyDescent="0.25">
      <c r="B54" s="344" t="s">
        <v>645</v>
      </c>
      <c r="C54" s="460">
        <v>2.2073730682013348</v>
      </c>
      <c r="D54" s="460">
        <v>1.9232250525049288</v>
      </c>
      <c r="E54" s="460">
        <v>1.9709800558260104</v>
      </c>
      <c r="F54" s="460">
        <v>0.6133699875252141</v>
      </c>
      <c r="G54" s="461">
        <v>3.0613681715526031</v>
      </c>
    </row>
    <row r="55" spans="2:7" x14ac:dyDescent="0.25">
      <c r="B55" s="344" t="s">
        <v>646</v>
      </c>
      <c r="C55" s="460">
        <v>2.1812600684335548</v>
      </c>
      <c r="D55" s="460">
        <v>1.9247235627091852</v>
      </c>
      <c r="E55" s="460">
        <v>1.9705592183053344</v>
      </c>
      <c r="F55" s="460">
        <v>0.61237151835884518</v>
      </c>
      <c r="G55" s="461">
        <v>3.0706760031104396</v>
      </c>
    </row>
    <row r="56" spans="2:7" x14ac:dyDescent="0.25">
      <c r="B56" s="344" t="s">
        <v>647</v>
      </c>
      <c r="C56" s="460">
        <v>2.1707481889591707</v>
      </c>
      <c r="D56" s="460">
        <v>1.9256451066585356</v>
      </c>
      <c r="E56" s="460">
        <v>1.970136990781568</v>
      </c>
      <c r="F56" s="460">
        <v>0.61733578220777297</v>
      </c>
      <c r="G56" s="461">
        <v>3.0715459093735742</v>
      </c>
    </row>
    <row r="57" spans="2:7" x14ac:dyDescent="0.25">
      <c r="B57" s="474" t="s">
        <v>648</v>
      </c>
      <c r="C57" s="460">
        <v>2.1460173683796713</v>
      </c>
      <c r="D57" s="460">
        <v>1.9263425602740636</v>
      </c>
      <c r="E57" s="460">
        <v>1.9697180997660269</v>
      </c>
      <c r="F57" s="460">
        <v>0.62218508707998499</v>
      </c>
      <c r="G57" s="461">
        <v>3.0749153013101438</v>
      </c>
    </row>
    <row r="58" spans="2:7" x14ac:dyDescent="0.25">
      <c r="B58" s="233">
        <v>2019</v>
      </c>
      <c r="C58" s="462">
        <f t="shared" ref="C58:G70" ca="1" si="0">AVERAGE(OFFSET(C$5,4*(ROW()-ROW(C$58)),0, 4, 1))</f>
        <v>1.9429589633062183</v>
      </c>
      <c r="D58" s="462">
        <f t="shared" ca="1" si="0"/>
        <v>4.0687214944329009</v>
      </c>
      <c r="E58" s="462">
        <f t="shared" ca="1" si="0"/>
        <v>0.42644538468359638</v>
      </c>
      <c r="F58" s="462">
        <f t="shared" ca="1" si="0"/>
        <v>1.0527413666891194</v>
      </c>
      <c r="G58" s="463">
        <f t="shared" ca="1" si="0"/>
        <v>2.3611902480050184</v>
      </c>
    </row>
    <row r="59" spans="2:7" x14ac:dyDescent="0.25">
      <c r="B59" s="13">
        <v>2020</v>
      </c>
      <c r="C59" s="70">
        <f t="shared" ca="1" si="0"/>
        <v>1.0423790272686584</v>
      </c>
      <c r="D59" s="70">
        <f t="shared" ca="1" si="0"/>
        <v>-3.9870149041562275</v>
      </c>
      <c r="E59" s="70">
        <f t="shared" ca="1" si="0"/>
        <v>-8.8141473784352797</v>
      </c>
      <c r="F59" s="70">
        <f t="shared" ca="1" si="0"/>
        <v>1.1755740346989674</v>
      </c>
      <c r="G59" s="464">
        <f t="shared" ca="1" si="0"/>
        <v>1.5934759862662518</v>
      </c>
    </row>
    <row r="60" spans="2:7" x14ac:dyDescent="0.25">
      <c r="B60" s="13">
        <f t="shared" ref="B60:B62" si="1">B59+1</f>
        <v>2021</v>
      </c>
      <c r="C60" s="70">
        <f t="shared" ca="1" si="0"/>
        <v>0.93077735614124912</v>
      </c>
      <c r="D60" s="70">
        <f t="shared" ca="1" si="0"/>
        <v>4.2935159165985066</v>
      </c>
      <c r="E60" s="70">
        <f t="shared" ca="1" si="0"/>
        <v>14.673314474669116</v>
      </c>
      <c r="F60" s="70">
        <f t="shared" ca="1" si="0"/>
        <v>2.173540319316464</v>
      </c>
      <c r="G60" s="464">
        <f t="shared" ca="1" si="0"/>
        <v>2.6469498259516056</v>
      </c>
    </row>
    <row r="61" spans="2:7" x14ac:dyDescent="0.25">
      <c r="B61" s="13">
        <f t="shared" si="1"/>
        <v>2022</v>
      </c>
      <c r="C61" s="70">
        <f t="shared" ca="1" si="0"/>
        <v>8.9202897831670072</v>
      </c>
      <c r="D61" s="70">
        <f t="shared" ca="1" si="0"/>
        <v>63.382389768887919</v>
      </c>
      <c r="E61" s="70">
        <f t="shared" ca="1" si="0"/>
        <v>29.53750476231987</v>
      </c>
      <c r="F61" s="70">
        <f t="shared" ca="1" si="0"/>
        <v>6.5940991286360671</v>
      </c>
      <c r="G61" s="464">
        <f t="shared" ca="1" si="0"/>
        <v>5.5466968891954069</v>
      </c>
    </row>
    <row r="62" spans="2:7" x14ac:dyDescent="0.25">
      <c r="B62" s="13">
        <f t="shared" si="1"/>
        <v>2023</v>
      </c>
      <c r="C62" s="70">
        <f t="shared" ca="1" si="0"/>
        <v>12.952135454590325</v>
      </c>
      <c r="D62" s="70">
        <f t="shared" ca="1" si="0"/>
        <v>24.882014834548329</v>
      </c>
      <c r="E62" s="70">
        <f t="shared" ca="1" si="0"/>
        <v>-9.7436238759703784</v>
      </c>
      <c r="F62" s="70">
        <f t="shared" ca="1" si="0"/>
        <v>6.2284153140579557</v>
      </c>
      <c r="G62" s="464">
        <f t="shared" ca="1" si="0"/>
        <v>6.7987232748724988</v>
      </c>
    </row>
    <row r="63" spans="2:7" x14ac:dyDescent="0.25">
      <c r="B63" s="13">
        <v>2024</v>
      </c>
      <c r="C63" s="70">
        <f t="shared" ca="1" si="0"/>
        <v>3.9877901111966207</v>
      </c>
      <c r="D63" s="70">
        <f t="shared" ca="1" si="0"/>
        <v>-18.543770922381142</v>
      </c>
      <c r="E63" s="70">
        <f t="shared" ca="1" si="0"/>
        <v>-4.9195893016363428</v>
      </c>
      <c r="F63" s="70">
        <f t="shared" ca="1" si="0"/>
        <v>1.9475292248840426</v>
      </c>
      <c r="G63" s="464">
        <f t="shared" ca="1" si="0"/>
        <v>5.5733577870254241</v>
      </c>
    </row>
    <row r="64" spans="2:7" x14ac:dyDescent="0.25">
      <c r="B64" s="13">
        <v>2025</v>
      </c>
      <c r="C64" s="70">
        <f t="shared" ca="1" si="0"/>
        <v>4.5397138580514245</v>
      </c>
      <c r="D64" s="70">
        <f t="shared" ca="1" si="0"/>
        <v>3.1209751338569927</v>
      </c>
      <c r="E64" s="70">
        <f t="shared" ca="1" si="0"/>
        <v>-4.1542922247695762</v>
      </c>
      <c r="F64" s="70">
        <f t="shared" ca="1" si="0"/>
        <v>1.5786891826398031</v>
      </c>
      <c r="G64" s="464">
        <f t="shared" ca="1" si="0"/>
        <v>5.1248604009998973</v>
      </c>
    </row>
    <row r="65" spans="2:7" x14ac:dyDescent="0.25">
      <c r="B65" s="13">
        <v>2026</v>
      </c>
      <c r="C65" s="70">
        <f t="shared" ca="1" si="0"/>
        <v>2.829380505472201</v>
      </c>
      <c r="D65" s="70">
        <f t="shared" ca="1" si="0"/>
        <v>-3.4465465104288606E-2</v>
      </c>
      <c r="E65" s="70">
        <f t="shared" ca="1" si="0"/>
        <v>21.392240061346328</v>
      </c>
      <c r="F65" s="70">
        <f t="shared" ca="1" si="0"/>
        <v>1.0794199745577937</v>
      </c>
      <c r="G65" s="464">
        <f t="shared" ca="1" si="0"/>
        <v>3.9786844807084547</v>
      </c>
    </row>
    <row r="66" spans="2:7" x14ac:dyDescent="0.25">
      <c r="B66" s="13">
        <v>2027</v>
      </c>
      <c r="C66" s="70">
        <f t="shared" ca="1" si="0"/>
        <v>4.6923588229726256</v>
      </c>
      <c r="D66" s="70">
        <f t="shared" ca="1" si="0"/>
        <v>8.2450142376294728</v>
      </c>
      <c r="E66" s="70">
        <f t="shared" ca="1" si="0"/>
        <v>6.1172017576396227</v>
      </c>
      <c r="F66" s="70">
        <f t="shared" ca="1" si="0"/>
        <v>1.888084018583136</v>
      </c>
      <c r="G66" s="464">
        <f t="shared" ca="1" si="0"/>
        <v>3.7097922239673506</v>
      </c>
    </row>
    <row r="67" spans="2:7" x14ac:dyDescent="0.25">
      <c r="B67" s="13">
        <v>2028</v>
      </c>
      <c r="C67" s="70">
        <f t="shared" ca="1" si="0"/>
        <v>2.7379445204084583</v>
      </c>
      <c r="D67" s="70">
        <f t="shared" ca="1" si="0"/>
        <v>-8.5799117050675591</v>
      </c>
      <c r="E67" s="70">
        <f t="shared" ca="1" si="0"/>
        <v>-0.29481609589597502</v>
      </c>
      <c r="F67" s="70">
        <f t="shared" ca="1" si="0"/>
        <v>1.217666708223647</v>
      </c>
      <c r="G67" s="464">
        <f t="shared" ca="1" si="0"/>
        <v>3.5390144223524769</v>
      </c>
    </row>
    <row r="68" spans="2:7" x14ac:dyDescent="0.25">
      <c r="B68" s="13">
        <v>2029</v>
      </c>
      <c r="C68" s="70">
        <f t="shared" ca="1" si="0"/>
        <v>2.1021381634444003</v>
      </c>
      <c r="D68" s="70">
        <f t="shared" ca="1" si="0"/>
        <v>2.0684552247192292</v>
      </c>
      <c r="E68" s="70">
        <f t="shared" ca="1" si="0"/>
        <v>8.4345467611290914E-2</v>
      </c>
      <c r="F68" s="70">
        <f t="shared" ca="1" si="0"/>
        <v>0.75364526696441447</v>
      </c>
      <c r="G68" s="464">
        <f t="shared" ca="1" si="0"/>
        <v>3.3330386369649525</v>
      </c>
    </row>
    <row r="69" spans="2:7" x14ac:dyDescent="0.25">
      <c r="B69" s="13">
        <v>2030</v>
      </c>
      <c r="C69" s="70">
        <f t="shared" ca="1" si="0"/>
        <v>2.0945973205303003</v>
      </c>
      <c r="D69" s="70">
        <f t="shared" ca="1" si="0"/>
        <v>2.4265006564746008</v>
      </c>
      <c r="E69" s="70">
        <f t="shared" ca="1" si="0"/>
        <v>0.96903324752229403</v>
      </c>
      <c r="F69" s="70">
        <f t="shared" ca="1" si="0"/>
        <v>0.69689734441588658</v>
      </c>
      <c r="G69" s="464">
        <f t="shared" ca="1" si="0"/>
        <v>3.0829332362598492</v>
      </c>
    </row>
    <row r="70" spans="2:7" x14ac:dyDescent="0.25">
      <c r="B70" s="13">
        <v>2031</v>
      </c>
      <c r="C70" s="70">
        <f t="shared" ca="1" si="0"/>
        <v>2.1847745321513843</v>
      </c>
      <c r="D70" s="70">
        <f t="shared" ca="1" si="0"/>
        <v>1.8745738245752264</v>
      </c>
      <c r="E70" s="70">
        <f t="shared" ca="1" si="0"/>
        <v>1.9871857973128682</v>
      </c>
      <c r="F70" s="70">
        <f t="shared" ca="1" si="0"/>
        <v>0.61730446816142259</v>
      </c>
      <c r="G70" s="464">
        <f t="shared" ca="1" si="0"/>
        <v>3.0685033752753719</v>
      </c>
    </row>
    <row r="71" spans="2:7" x14ac:dyDescent="0.25">
      <c r="B71" s="233" t="s">
        <v>147</v>
      </c>
      <c r="C71" s="462">
        <f ca="1">AVERAGE(OFFSET(C$6,4*(ROW()-ROW(C$71)),0, 4, 1))</f>
        <v>1.7535885839915888</v>
      </c>
      <c r="D71" s="462">
        <f t="shared" ref="D71:G83" ca="1" si="2">AVERAGE(OFFSET(D$6,4*(ROW()-ROW(D$71)),0, 4, 1))</f>
        <v>4.9139499660486177</v>
      </c>
      <c r="E71" s="462">
        <f t="shared" ca="1" si="2"/>
        <v>0.43284196328412794</v>
      </c>
      <c r="F71" s="462">
        <f t="shared" ca="1" si="2"/>
        <v>1.0005164557232715</v>
      </c>
      <c r="G71" s="463">
        <f t="shared" ca="1" si="2"/>
        <v>2.2976201417701292</v>
      </c>
    </row>
    <row r="72" spans="2:7" x14ac:dyDescent="0.25">
      <c r="B72" s="13" t="s">
        <v>148</v>
      </c>
      <c r="C72" s="70">
        <f t="shared" ref="C72:C83" ca="1" si="3">AVERAGE(OFFSET(C$6,4*(ROW()-ROW(C$71)),0, 4, 1))</f>
        <v>0.75392231883130156</v>
      </c>
      <c r="D72" s="70">
        <f t="shared" ca="1" si="2"/>
        <v>-7.289815210326072</v>
      </c>
      <c r="E72" s="70">
        <f t="shared" ca="1" si="2"/>
        <v>-9.8563726400721077</v>
      </c>
      <c r="F72" s="70">
        <f t="shared" ca="1" si="2"/>
        <v>1.0288594256279371</v>
      </c>
      <c r="G72" s="464">
        <f t="shared" ca="1" si="2"/>
        <v>1.5235723052383299</v>
      </c>
    </row>
    <row r="73" spans="2:7" x14ac:dyDescent="0.25">
      <c r="B73" s="13" t="s">
        <v>149</v>
      </c>
      <c r="C73" s="70">
        <f t="shared" ca="1" si="3"/>
        <v>2.079763864955825</v>
      </c>
      <c r="D73" s="70">
        <f t="shared" ca="1" si="2"/>
        <v>12.064223397263325</v>
      </c>
      <c r="E73" s="70">
        <f t="shared" ca="1" si="2"/>
        <v>21.951499775164407</v>
      </c>
      <c r="F73" s="70">
        <f t="shared" ca="1" si="2"/>
        <v>3.6606671228548491</v>
      </c>
      <c r="G73" s="464">
        <f t="shared" ca="1" si="2"/>
        <v>3.1319909564470843</v>
      </c>
    </row>
    <row r="74" spans="2:7" x14ac:dyDescent="0.25">
      <c r="B74" s="13" t="s">
        <v>150</v>
      </c>
      <c r="C74" s="70">
        <f t="shared" ca="1" si="3"/>
        <v>11.271906930607077</v>
      </c>
      <c r="D74" s="70">
        <f t="shared" ca="1" si="2"/>
        <v>80.543580239895192</v>
      </c>
      <c r="E74" s="70">
        <f t="shared" ca="1" si="2"/>
        <v>23.62856913855553</v>
      </c>
      <c r="F74" s="70">
        <f t="shared" ca="1" si="2"/>
        <v>6.5346360351866304</v>
      </c>
      <c r="G74" s="464">
        <f t="shared" ca="1" si="2"/>
        <v>6.2873382538723881</v>
      </c>
    </row>
    <row r="75" spans="2:7" x14ac:dyDescent="0.25">
      <c r="B75" s="13" t="s">
        <v>151</v>
      </c>
      <c r="C75" s="70">
        <f t="shared" ca="1" si="3"/>
        <v>11.169458393277793</v>
      </c>
      <c r="D75" s="70">
        <f t="shared" ca="1" si="2"/>
        <v>-2.6253932016484605</v>
      </c>
      <c r="E75" s="70">
        <f t="shared" ca="1" si="2"/>
        <v>-12.075912641318052</v>
      </c>
      <c r="F75" s="70">
        <f t="shared" ca="1" si="2"/>
        <v>5.543029517603804</v>
      </c>
      <c r="G75" s="464">
        <f t="shared" ca="1" si="2"/>
        <v>6.5994133266841395</v>
      </c>
    </row>
    <row r="76" spans="2:7" x14ac:dyDescent="0.25">
      <c r="B76" s="13" t="s">
        <v>152</v>
      </c>
      <c r="C76" s="70">
        <f t="shared" ca="1" si="3"/>
        <v>3.1788239458093059</v>
      </c>
      <c r="D76" s="70">
        <f t="shared" ca="1" si="2"/>
        <v>-16.333730280203611</v>
      </c>
      <c r="E76" s="70">
        <f t="shared" ca="1" si="2"/>
        <v>-4.1129091821914292</v>
      </c>
      <c r="F76" s="70">
        <f t="shared" ca="1" si="2"/>
        <v>1.5154887184629096</v>
      </c>
      <c r="G76" s="464">
        <f t="shared" ca="1" si="2"/>
        <v>5.350669511954198</v>
      </c>
    </row>
    <row r="77" spans="2:7" x14ac:dyDescent="0.25">
      <c r="B77" s="13" t="s">
        <v>153</v>
      </c>
      <c r="C77" s="70">
        <f t="shared" ca="1" si="3"/>
        <v>4.517056851608614</v>
      </c>
      <c r="D77" s="70">
        <f t="shared" ca="1" si="2"/>
        <v>6.1980054259572146</v>
      </c>
      <c r="E77" s="70">
        <f t="shared" ca="1" si="2"/>
        <v>-3.211444549689138</v>
      </c>
      <c r="F77" s="70">
        <f t="shared" ca="1" si="2"/>
        <v>1.441288302657967</v>
      </c>
      <c r="G77" s="464">
        <f t="shared" ca="1" si="2"/>
        <v>5.0615216237992193</v>
      </c>
    </row>
    <row r="78" spans="2:7" x14ac:dyDescent="0.25">
      <c r="B78" s="13" t="s">
        <v>154</v>
      </c>
      <c r="C78" s="70">
        <f t="shared" ca="1" si="3"/>
        <v>3.0196256521981599</v>
      </c>
      <c r="D78" s="70">
        <f t="shared" ca="1" si="2"/>
        <v>2.1760835973049231</v>
      </c>
      <c r="E78" s="70">
        <f t="shared" ca="1" si="2"/>
        <v>27.269009539641832</v>
      </c>
      <c r="F78" s="70">
        <f t="shared" ca="1" si="2"/>
        <v>1.1795006062638336</v>
      </c>
      <c r="G78" s="464">
        <f t="shared" ca="1" si="2"/>
        <v>3.6482275164924971</v>
      </c>
    </row>
    <row r="79" spans="2:7" x14ac:dyDescent="0.25">
      <c r="B79" s="13" t="s">
        <v>155</v>
      </c>
      <c r="C79" s="70">
        <f t="shared" ca="1" si="3"/>
        <v>4.4612105147488812</v>
      </c>
      <c r="D79" s="70">
        <f t="shared" ca="1" si="2"/>
        <v>2.7713632964132002</v>
      </c>
      <c r="E79" s="70">
        <f t="shared" ca="1" si="2"/>
        <v>1.6835634377881936E-2</v>
      </c>
      <c r="F79" s="70">
        <f t="shared" ca="1" si="2"/>
        <v>1.9531497953906518</v>
      </c>
      <c r="G79" s="464">
        <f t="shared" ca="1" si="2"/>
        <v>3.7208589375745502</v>
      </c>
    </row>
    <row r="80" spans="2:7" x14ac:dyDescent="0.25">
      <c r="B80" s="13" t="s">
        <v>156</v>
      </c>
      <c r="C80" s="70">
        <f t="shared" ca="1" si="3"/>
        <v>2.3997291336451951</v>
      </c>
      <c r="D80" s="70">
        <f t="shared" ca="1" si="2"/>
        <v>-6.6831038257757376</v>
      </c>
      <c r="E80" s="70">
        <f t="shared" ca="1" si="2"/>
        <v>-0.25405903783137507</v>
      </c>
      <c r="F80" s="70">
        <f t="shared" ca="1" si="2"/>
        <v>0.97767322712181137</v>
      </c>
      <c r="G80" s="464">
        <f t="shared" ca="1" si="2"/>
        <v>3.5050075818045148</v>
      </c>
    </row>
    <row r="81" spans="2:7" x14ac:dyDescent="0.25">
      <c r="B81" s="13" t="s">
        <v>157</v>
      </c>
      <c r="C81" s="70">
        <f t="shared" ca="1" si="3"/>
        <v>2.0887889132960966</v>
      </c>
      <c r="D81" s="70">
        <f t="shared" ca="1" si="2"/>
        <v>4.0560658869876534</v>
      </c>
      <c r="E81" s="70">
        <f t="shared" ca="1" si="2"/>
        <v>0.27711550908174343</v>
      </c>
      <c r="F81" s="70">
        <f t="shared" ca="1" si="2"/>
        <v>0.72988593289757819</v>
      </c>
      <c r="G81" s="464">
        <f t="shared" ca="1" si="2"/>
        <v>3.2554421070961737</v>
      </c>
    </row>
    <row r="82" spans="2:7" x14ac:dyDescent="0.25">
      <c r="B82" s="13" t="s">
        <v>158</v>
      </c>
      <c r="C82" s="70">
        <f t="shared" ca="1" si="3"/>
        <v>2.1181486989584775</v>
      </c>
      <c r="D82" s="70">
        <f t="shared" ca="1" si="2"/>
        <v>1.6158903550762438</v>
      </c>
      <c r="E82" s="70">
        <f t="shared" ca="1" si="2"/>
        <v>1.3578659211733235</v>
      </c>
      <c r="F82" s="70">
        <f t="shared" ca="1" si="2"/>
        <v>0.66330857407864707</v>
      </c>
      <c r="G82" s="464">
        <f t="shared" ca="1" si="2"/>
        <v>3.0701971432502027</v>
      </c>
    </row>
    <row r="83" spans="2:7" ht="15.75" thickBot="1" x14ac:dyDescent="0.3">
      <c r="B83" s="213" t="s">
        <v>649</v>
      </c>
      <c r="C83" s="465">
        <f t="shared" ca="1" si="3"/>
        <v>2.1763496734934327</v>
      </c>
      <c r="D83" s="465">
        <f t="shared" ca="1" si="2"/>
        <v>1.9249840705366783</v>
      </c>
      <c r="E83" s="465">
        <f t="shared" ca="1" si="2"/>
        <v>1.9703485911697349</v>
      </c>
      <c r="F83" s="465">
        <f t="shared" ca="1" si="2"/>
        <v>0.61631559379295431</v>
      </c>
      <c r="G83" s="466">
        <f t="shared" ca="1" si="2"/>
        <v>3.06962634633669</v>
      </c>
    </row>
    <row r="85" spans="2:7" x14ac:dyDescent="0.25">
      <c r="B85"/>
    </row>
    <row r="105" spans="1:8" s="2" customFormat="1" ht="15.75" x14ac:dyDescent="0.25">
      <c r="A105" s="7"/>
      <c r="B105" s="17"/>
      <c r="C105" s="17"/>
      <c r="D105" s="17"/>
      <c r="E105" s="17"/>
      <c r="F105" s="17"/>
      <c r="G105" s="17"/>
      <c r="H105" s="116"/>
    </row>
    <row r="106" spans="1:8" s="2" customFormat="1" ht="15.75" x14ac:dyDescent="0.25">
      <c r="A106" s="7"/>
      <c r="B106" s="17"/>
      <c r="C106" s="17"/>
      <c r="D106" s="17"/>
      <c r="E106" s="17"/>
      <c r="F106" s="17"/>
      <c r="G106" s="17"/>
      <c r="H106" s="116"/>
    </row>
    <row r="107" spans="1:8" s="2" customFormat="1" ht="15.75" x14ac:dyDescent="0.25">
      <c r="A107" s="7"/>
      <c r="B107" s="17"/>
      <c r="C107" s="17"/>
      <c r="D107" s="17"/>
      <c r="E107" s="17"/>
      <c r="F107" s="17"/>
      <c r="G107" s="17"/>
      <c r="H107" s="116"/>
    </row>
    <row r="108" spans="1:8" s="2" customFormat="1" ht="15.75" x14ac:dyDescent="0.25">
      <c r="A108" s="7"/>
      <c r="B108" s="17"/>
      <c r="C108" s="17"/>
      <c r="D108" s="17"/>
      <c r="E108" s="17"/>
      <c r="F108" s="17"/>
      <c r="G108" s="17"/>
      <c r="H108" s="116"/>
    </row>
    <row r="152" ht="15" customHeight="1" x14ac:dyDescent="0.25"/>
    <row r="153" ht="15" customHeight="1" x14ac:dyDescent="0.25"/>
    <row r="154" ht="21.6" customHeight="1" x14ac:dyDescent="0.25"/>
    <row r="155" ht="15" customHeight="1" x14ac:dyDescent="0.25"/>
    <row r="209" spans="1:1" x14ac:dyDescent="0.25">
      <c r="A209" s="18"/>
    </row>
    <row r="210" spans="1:1" x14ac:dyDescent="0.25">
      <c r="A210" s="18"/>
    </row>
    <row r="259" spans="8:8" ht="15" customHeight="1" x14ac:dyDescent="0.25"/>
    <row r="271" spans="8:8" x14ac:dyDescent="0.25">
      <c r="H271" s="202"/>
    </row>
    <row r="315" ht="24" customHeight="1" x14ac:dyDescent="0.25"/>
    <row r="316" ht="37.5" customHeight="1" x14ac:dyDescent="0.25"/>
  </sheetData>
  <mergeCells count="2">
    <mergeCell ref="B2:G2"/>
    <mergeCell ref="C3:G3"/>
  </mergeCells>
  <phoneticPr fontId="91" type="noConversion"/>
  <hyperlinks>
    <hyperlink ref="A1" location="Contents!A1" display="Back to contents" xr:uid="{B692F941-52FC-47AA-BA55-76F812BB4D47}"/>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109" min="1" max="9" man="1"/>
  </rowBreaks>
</worksheet>
</file>